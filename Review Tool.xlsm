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C:\Users\z0016u8n\Documents\Office\NBUC proposal\"/>
    </mc:Choice>
  </mc:AlternateContent>
  <xr:revisionPtr revIDLastSave="0" documentId="13_ncr:1_{15E747E6-CEFE-44E8-8533-1450147290D9}" xr6:coauthVersionLast="47" xr6:coauthVersionMax="47" xr10:uidLastSave="{00000000-0000-0000-0000-000000000000}"/>
  <bookViews>
    <workbookView xWindow="-110" yWindow="-110" windowWidth="19420" windowHeight="10420" xr2:uid="{00000000-000D-0000-FFFF-FFFF00000000}"/>
  </bookViews>
  <sheets>
    <sheet name="Reviewers" sheetId="11" r:id="rId1"/>
    <sheet name="Review Findings" sheetId="4" r:id="rId2"/>
    <sheet name="Data" sheetId="2" r:id="rId3"/>
    <sheet name="Format" sheetId="9" r:id="rId4"/>
  </sheets>
  <externalReferences>
    <externalReference r:id="rId5"/>
  </externalReferences>
  <definedNames>
    <definedName name="_xlnm._FilterDatabase" localSheetId="1" hidden="1">'Review Findings'!$A$9:$G$83</definedName>
    <definedName name="Agreed">'Review Findings'!$H$8:$H$84</definedName>
    <definedName name="APO">Reviewers!$H$12</definedName>
    <definedName name="Category">[1]Data!$A$1:$H$1</definedName>
    <definedName name="Cloud">Data!$A$2:$A$11</definedName>
    <definedName name="Cloud_RA">Data!$A$12</definedName>
    <definedName name="CorrectionStatus">'Review Findings'!$F$8:$F$84</definedName>
    <definedName name="CREnd">Reviewers!$H$22</definedName>
    <definedName name="CRev">Reviewers!$G$16:$I$22</definedName>
    <definedName name="FCat">Reviewers!$C$5</definedName>
    <definedName name="Findings">'Review Findings'!$C$8:$C$84</definedName>
    <definedName name="Fname">#REF!</definedName>
    <definedName name="FName1">#REF!</definedName>
    <definedName name="FOwner">Reviewers!$C$4</definedName>
    <definedName name="FST">Reviewers!$H$11</definedName>
    <definedName name="FTitle">Reviewers!$C$3</definedName>
    <definedName name="Guard">Reviewers!$H$6</definedName>
    <definedName name="LRAL">Reviewers!$H$3</definedName>
    <definedName name="NAct">Reviewers!$H$16</definedName>
    <definedName name="name">#REF!</definedName>
    <definedName name="NRAL">Reviewers!$H$4</definedName>
    <definedName name="OMan">Reviewers!$H$8</definedName>
    <definedName name="OOpt">Reviewers!$H$13</definedName>
    <definedName name="Operability">Data!$C$2:$C$18</definedName>
    <definedName name="Operability_RA">Data!$C$19:$C$26</definedName>
    <definedName name="PTM">Reviewers!$C$14</definedName>
    <definedName name="RA">Reviewers!$C$7</definedName>
    <definedName name="RAT">Reviewers!$C$9</definedName>
    <definedName name="Rel">Reviewers!$C$8</definedName>
    <definedName name="REnd">Reviewers!$C$12</definedName>
    <definedName name="ReqArea">#REF!:INDEX(#REF!,MATCH("zzzzzzzz",#REF!,1))</definedName>
    <definedName name="RRM_and_Telecom">Data!$E$2:$E$8</definedName>
    <definedName name="RRM_and_Telecom_RA">Data!$E$9:$E$13</definedName>
    <definedName name="RStart">Reviewers!$C$11</definedName>
    <definedName name="RType">Reviewers!$C$2</definedName>
    <definedName name="SA">Reviewers!$C$6</definedName>
    <definedName name="Seriousness">'Review Findings'!$D$8:$D$84</definedName>
    <definedName name="Site_Solution">Data!$G$2:$G$6</definedName>
    <definedName name="Site_Solution_RA">Data!$G$7:$G$10</definedName>
    <definedName name="Small_cell">Data!$K$2</definedName>
    <definedName name="Small_cell_RA">Data!$K$3</definedName>
    <definedName name="Sum">Reviewers!$C$17</definedName>
    <definedName name="SyArc">Reviewers!$H$7</definedName>
    <definedName name="TAO">Reviewers!$H$5</definedName>
    <definedName name="TM">Reviewers!$H$2</definedName>
    <definedName name="Transport">Data!$I$2:$I$14</definedName>
    <definedName name="Transport_RA">Data!$I$15:$I$17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1" i="4" l="1"/>
  <c r="H9" i="4"/>
  <c r="H10" i="4" l="1"/>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D2" i="4" l="1"/>
  <c r="H6" i="4"/>
  <c r="L4" i="11" l="1"/>
  <c r="H5" i="4" l="1"/>
  <c r="G2" i="4" l="1"/>
  <c r="D6" i="4"/>
  <c r="G3" i="4" l="1"/>
  <c r="G4" i="4"/>
  <c r="G5" i="4"/>
  <c r="G6" i="4"/>
  <c r="D5" i="4"/>
  <c r="D4" i="4"/>
  <c r="D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Uusnakki Jari</author>
    <author>Ojha, Aditya (Nokia - IN/Bangalore)</author>
  </authors>
  <commentList>
    <comment ref="A7" authorId="0" shapeId="0" xr:uid="{C193181F-951F-4BE1-AD3E-BEAA652DE501}">
      <text>
        <r>
          <rPr>
            <b/>
            <sz val="8"/>
            <color indexed="81"/>
            <rFont val="Tahoma"/>
            <family val="2"/>
          </rPr>
          <t xml:space="preserve">Page
</t>
        </r>
        <r>
          <rPr>
            <sz val="8"/>
            <color indexed="81"/>
            <rFont val="Tahoma"/>
            <family val="2"/>
          </rPr>
          <t>State here the page of the finding</t>
        </r>
      </text>
    </comment>
    <comment ref="B7" authorId="0" shapeId="0" xr:uid="{15EAA226-33E7-430B-94DF-67438D83C7B3}">
      <text>
        <r>
          <rPr>
            <b/>
            <sz val="8"/>
            <color indexed="81"/>
            <rFont val="Tahoma"/>
            <family val="2"/>
          </rPr>
          <t xml:space="preserve">Chapter
</t>
        </r>
        <r>
          <rPr>
            <sz val="8"/>
            <color indexed="81"/>
            <rFont val="Tahoma"/>
            <family val="2"/>
          </rPr>
          <t>State here the chapter of the finding</t>
        </r>
      </text>
    </comment>
    <comment ref="C7" authorId="0" shapeId="0" xr:uid="{6800BEAE-0E8B-478C-8B7D-92875C985C05}">
      <text>
        <r>
          <rPr>
            <b/>
            <sz val="8"/>
            <color indexed="81"/>
            <rFont val="Tahoma"/>
            <family val="2"/>
          </rPr>
          <t xml:space="preserve">Description
</t>
        </r>
        <r>
          <rPr>
            <sz val="8"/>
            <color indexed="81"/>
            <rFont val="Tahoma"/>
            <family val="2"/>
          </rPr>
          <t>State here the description of the finding</t>
        </r>
      </text>
    </comment>
    <comment ref="D7" authorId="0" shapeId="0" xr:uid="{6AD109C1-4D57-4F29-A0AC-5AF5F3080457}">
      <text>
        <r>
          <rPr>
            <b/>
            <sz val="8"/>
            <color indexed="81"/>
            <rFont val="Tahoma"/>
            <family val="2"/>
          </rPr>
          <t xml:space="preserve">Seriousness
</t>
        </r>
        <r>
          <rPr>
            <sz val="8"/>
            <color indexed="81"/>
            <rFont val="Tahoma"/>
            <family val="2"/>
          </rPr>
          <t xml:space="preserve">
Fatal - Significant effect on the quality of the product:
            data loss, restarts, lost serviceability, missing requirements.
            The defect may cause the system to fail.
            The feature will not function as required.
Medium - A portion of the service unavailable,
                 minor performance problems.
                The feature may not function as required.
                 The defect does not affect functionality.
Neutral - Cosmetic errors, style issues.
Further Dev - Not a real defect, but rather a useful
                        improvement idea,
                        for example on performance or clarity.
</t>
        </r>
      </text>
    </comment>
    <comment ref="E7" authorId="0" shapeId="0" xr:uid="{B0B28252-A495-49C6-8E0E-57E12E81D78D}">
      <text>
        <r>
          <rPr>
            <sz val="8"/>
            <color indexed="81"/>
            <rFont val="Tahoma"/>
            <family val="2"/>
          </rPr>
          <t xml:space="preserve">Add reviewer's email ID
</t>
        </r>
        <r>
          <rPr>
            <b/>
            <sz val="8"/>
            <color indexed="81"/>
            <rFont val="Tahoma"/>
            <family val="2"/>
          </rPr>
          <t>"@nokia.com" is added automatically.</t>
        </r>
        <r>
          <rPr>
            <sz val="8"/>
            <color indexed="81"/>
            <rFont val="Tahoma"/>
            <family val="2"/>
          </rPr>
          <t xml:space="preserve">
</t>
        </r>
      </text>
    </comment>
    <comment ref="F7" authorId="0" shapeId="0" xr:uid="{611FC325-67FD-4054-953E-874A0515A7C0}">
      <text>
        <r>
          <rPr>
            <b/>
            <sz val="8"/>
            <color indexed="81"/>
            <rFont val="Tahoma"/>
            <family val="2"/>
          </rPr>
          <t xml:space="preserve">Correction Status
</t>
        </r>
        <r>
          <rPr>
            <b/>
            <sz val="6"/>
            <color indexed="81"/>
            <rFont val="Tahoma"/>
            <family val="2"/>
          </rPr>
          <t>ACCEPTED</t>
        </r>
        <r>
          <rPr>
            <sz val="6"/>
            <color indexed="81"/>
            <rFont val="Tahoma"/>
            <family val="2"/>
          </rPr>
          <t xml:space="preserve"> - Finding has been acepted and will be corrected
</t>
        </r>
        <r>
          <rPr>
            <b/>
            <sz val="6"/>
            <color indexed="81"/>
            <rFont val="Tahoma"/>
            <family val="2"/>
          </rPr>
          <t>CORRECTED</t>
        </r>
        <r>
          <rPr>
            <sz val="6"/>
            <color indexed="81"/>
            <rFont val="Tahoma"/>
            <family val="2"/>
          </rPr>
          <t xml:space="preserve"> - Finding has been corrected into document
</t>
        </r>
        <r>
          <rPr>
            <b/>
            <sz val="6"/>
            <color indexed="81"/>
            <rFont val="Tahoma"/>
            <family val="2"/>
          </rPr>
          <t>REJECTED</t>
        </r>
        <r>
          <rPr>
            <sz val="6"/>
            <color indexed="81"/>
            <rFont val="Tahoma"/>
            <family val="2"/>
          </rPr>
          <t xml:space="preserve"> - Finding has been rejected, no correction
</t>
        </r>
        <r>
          <rPr>
            <b/>
            <sz val="6"/>
            <color indexed="81"/>
            <rFont val="Tahoma"/>
            <family val="2"/>
          </rPr>
          <t>FURTHER DEV</t>
        </r>
        <r>
          <rPr>
            <sz val="6"/>
            <color indexed="81"/>
            <rFont val="Tahoma"/>
            <family val="2"/>
          </rPr>
          <t xml:space="preserve"> - Comment is valid for next phase(s) of the feature development
</t>
        </r>
        <r>
          <rPr>
            <b/>
            <sz val="6"/>
            <color indexed="81"/>
            <rFont val="Tahoma"/>
            <family val="2"/>
          </rPr>
          <t>No updates needed</t>
        </r>
        <r>
          <rPr>
            <sz val="6"/>
            <color indexed="81"/>
            <rFont val="Tahoma"/>
            <family val="2"/>
          </rPr>
          <t xml:space="preserve"> - Clarification provided but no corrections/updates needed</t>
        </r>
      </text>
    </comment>
    <comment ref="G7" authorId="0" shapeId="0" xr:uid="{5F84F856-F43B-4D72-8F94-31B715B5AEB7}">
      <text>
        <r>
          <rPr>
            <b/>
            <sz val="8"/>
            <color indexed="81"/>
            <rFont val="Tahoma"/>
            <family val="2"/>
          </rPr>
          <t xml:space="preserve">Correction Comment
</t>
        </r>
        <r>
          <rPr>
            <sz val="8"/>
            <color indexed="81"/>
            <rFont val="Tahoma"/>
            <family val="2"/>
          </rPr>
          <t>State here special comments related to correction</t>
        </r>
      </text>
    </comment>
    <comment ref="H7" authorId="1" shapeId="0" xr:uid="{164638D5-3B62-4679-93B1-9EBC96D98816}">
      <text>
        <r>
          <rPr>
            <sz val="8"/>
            <color indexed="81"/>
            <rFont val="Tahoma"/>
            <family val="2"/>
          </rPr>
          <t>If response to the review comment is accepted by the reviewer or not. Mandatory to update for "Rejected", "Further Dev" or "No updates needed" comments.</t>
        </r>
      </text>
    </comment>
  </commentList>
</comments>
</file>

<file path=xl/sharedStrings.xml><?xml version="1.0" encoding="utf-8"?>
<sst xmlns="http://schemas.openxmlformats.org/spreadsheetml/2006/main" count="299" uniqueCount="173">
  <si>
    <t>Owner</t>
  </si>
  <si>
    <t>Primary TM</t>
  </si>
  <si>
    <t>Guardian</t>
  </si>
  <si>
    <t>System Architect</t>
  </si>
  <si>
    <t>Other optional</t>
  </si>
  <si>
    <t>REVIEW FINDINGS</t>
  </si>
  <si>
    <t>Summary</t>
  </si>
  <si>
    <t># of findings</t>
  </si>
  <si>
    <t>Further Dev</t>
  </si>
  <si>
    <t># Corrections</t>
  </si>
  <si>
    <t>Fatal</t>
  </si>
  <si>
    <t>Accepted</t>
  </si>
  <si>
    <t>Medium</t>
  </si>
  <si>
    <t>Corrected</t>
  </si>
  <si>
    <t>Neutral</t>
  </si>
  <si>
    <t>Rejected</t>
  </si>
  <si>
    <t>"No comments" confirmation</t>
  </si>
  <si>
    <t>"Rejected"/"Further Dev"/"No updates needed" not agreed</t>
  </si>
  <si>
    <t>Page/Slide</t>
  </si>
  <si>
    <t>Chapter/
Section</t>
  </si>
  <si>
    <t>Review comment</t>
  </si>
  <si>
    <t>Seriousness</t>
  </si>
  <si>
    <t>Reviewer's email id</t>
  </si>
  <si>
    <t>Correction 
Status</t>
  </si>
  <si>
    <t>Correction Comments</t>
  </si>
  <si>
    <t>If you need to add more lines please insert those above this line</t>
  </si>
  <si>
    <t>Cloud</t>
  </si>
  <si>
    <t>Assignment</t>
  </si>
  <si>
    <t>Operability</t>
  </si>
  <si>
    <t>RRM_and_Telecom</t>
  </si>
  <si>
    <t>Site_Solution</t>
  </si>
  <si>
    <t>Transport</t>
  </si>
  <si>
    <t>Small_cell</t>
  </si>
  <si>
    <t>Optional reviewers</t>
  </si>
  <si>
    <t>If RAT specific name (with prefix (5G) or (4G)) is added, it shall be added as pair.
If name is not available, &lt;Not available&gt; shall be added instead
Multiple names shall be ; (semi colon) separated</t>
  </si>
  <si>
    <t>Small Cell</t>
  </si>
  <si>
    <t>Security</t>
  </si>
  <si>
    <t>System architects</t>
  </si>
  <si>
    <t>Cloud security</t>
  </si>
  <si>
    <t>Commercial mgmt</t>
  </si>
  <si>
    <t>Dear reviewers,</t>
  </si>
  <si>
    <t xml:space="preserve">Please provide your comments by </t>
  </si>
  <si>
    <t>Thanks and regards,</t>
  </si>
  <si>
    <t>APO</t>
  </si>
  <si>
    <t>Title</t>
  </si>
  <si>
    <t>Req Area</t>
  </si>
  <si>
    <t>Release</t>
  </si>
  <si>
    <t>RAT</t>
  </si>
  <si>
    <t>Review type</t>
  </si>
  <si>
    <t>Review start</t>
  </si>
  <si>
    <t>Review end</t>
  </si>
  <si>
    <t>Sign-off</t>
  </si>
  <si>
    <t>Category</t>
  </si>
  <si>
    <t>Sol Area</t>
  </si>
  <si>
    <t>Technical Manager</t>
  </si>
  <si>
    <t>RA Lead (4G)</t>
  </si>
  <si>
    <t>RA Lead (5G)</t>
  </si>
  <si>
    <t>FS1TA Owner</t>
  </si>
  <si>
    <t>Other Mandatory</t>
  </si>
  <si>
    <t>FST</t>
  </si>
  <si>
    <t>Mandatory Reviewers</t>
  </si>
  <si>
    <t>Optional Reviewers</t>
  </si>
  <si>
    <t>Conditional Reviewers</t>
  </si>
  <si>
    <t>Feature details</t>
  </si>
  <si>
    <t>Review summary</t>
  </si>
  <si>
    <r>
      <t xml:space="preserve">Agreed with reviewer
</t>
    </r>
    <r>
      <rPr>
        <b/>
        <sz val="6"/>
        <rFont val="Arial"/>
        <family val="2"/>
      </rPr>
      <t>(to be updated by the reviewer)</t>
    </r>
  </si>
  <si>
    <r>
      <rPr>
        <b/>
        <sz val="11"/>
        <color theme="1"/>
        <rFont val="Calibri"/>
        <family val="2"/>
        <scheme val="minor"/>
      </rPr>
      <t xml:space="preserve">Note: </t>
    </r>
    <r>
      <rPr>
        <sz val="11"/>
        <color theme="1"/>
        <rFont val="Calibri"/>
        <family val="2"/>
        <scheme val="minor"/>
      </rPr>
      <t>Reviewer's role is defined in the review tool's "Reviewers" tab. For mandatory and conditional reviewers, feedback is mandatory. If no comments, please explicitly mention that as well.</t>
    </r>
  </si>
  <si>
    <t>REJECTED</t>
  </si>
  <si>
    <t>Yes</t>
  </si>
  <si>
    <t>xyz@nokia.com</t>
  </si>
  <si>
    <t>RAL: xyz@nokia.com APO: xyz@nokia.com</t>
  </si>
  <si>
    <t>RAL: xyz@nokia.com APO: xyz@nokia.com; xyz@nokia.com</t>
  </si>
  <si>
    <t>RAL: (5G) xyz@nokia.com (4G) xyz@nokia.com APO: (5G) xyz@nokia.com (4G) xyz@nokia.com</t>
  </si>
  <si>
    <t>xyz@nokia.com; xyz@nokia.com</t>
  </si>
  <si>
    <t>xyz@nokia.com; xyz@nokia.com; xyz@nokia.com</t>
  </si>
  <si>
    <t>xyz@nokia.com; xyz@nokia.com; xyz@nokia.com; xyz@nokia.com</t>
  </si>
  <si>
    <t>RAL: xyz@nokia.com; xyz@nokia.com APO: xyz@nokia.com</t>
  </si>
  <si>
    <t>Comp1</t>
  </si>
  <si>
    <t>Comp2</t>
  </si>
  <si>
    <t>Comp3</t>
  </si>
  <si>
    <t>Comp4</t>
  </si>
  <si>
    <t>Comp5</t>
  </si>
  <si>
    <t>Comp6</t>
  </si>
  <si>
    <t>Comp7</t>
  </si>
  <si>
    <t xml:space="preserve">Please be invited for the Review for feature </t>
  </si>
  <si>
    <t>Link to the review material:  &lt;&lt;Add link here&gt;&gt;</t>
  </si>
  <si>
    <t>Link to the review Tool: &lt;&lt;Add link here&gt;&gt;</t>
  </si>
  <si>
    <t>RAL: (5G) xyz@nokia.com (4G) xyz@nokia.com; xyz@nokia.com; xyz@nokia.com APO: (5G) xyz@nokia.com; xyz@nokia.com (4G) xyz@nokia.com; xyz@nokia.com</t>
  </si>
  <si>
    <t>RAL: (5G) xyz@nokia.com (4G) xyz@nokia.com; xyz@nokia.com; xyz@nokia.com APO: (5G) xyz@nokia.com (4G) xyz@nokia.com; xyz@nokia.com</t>
  </si>
  <si>
    <t>RAL: (5G) xyz@nokia.com (4G) xyz@nokia.com; xyz@nokia.com APO: (5G) xyz@nokia.com (4G) xyz@nokia.com; xyz@nokia.com</t>
  </si>
  <si>
    <t>comment 1</t>
  </si>
  <si>
    <t>P1</t>
  </si>
  <si>
    <t>C1</t>
  </si>
  <si>
    <t>SA/Cloud1</t>
  </si>
  <si>
    <t>SA/Cloud2</t>
  </si>
  <si>
    <t>SA/Cloud3</t>
  </si>
  <si>
    <t>SA/Cloud4</t>
  </si>
  <si>
    <t>SA/Cloud5</t>
  </si>
  <si>
    <t>SA/Cloud6</t>
  </si>
  <si>
    <t>SA/Cloud7</t>
  </si>
  <si>
    <t>SA/Cloud8</t>
  </si>
  <si>
    <t>SA/Cloud9</t>
  </si>
  <si>
    <t>SA/Cloud10</t>
  </si>
  <si>
    <t>RA/Cloud1</t>
  </si>
  <si>
    <t>SA/Operability1</t>
  </si>
  <si>
    <t>SA/Operability2</t>
  </si>
  <si>
    <t>SA/Operability3</t>
  </si>
  <si>
    <t>SA/Operability4</t>
  </si>
  <si>
    <t>SA/Operability5</t>
  </si>
  <si>
    <t>SA/Operability6</t>
  </si>
  <si>
    <t>SA/Operability7</t>
  </si>
  <si>
    <t>SA/Operability8</t>
  </si>
  <si>
    <t>SA/Operability9</t>
  </si>
  <si>
    <t>SA/Operability10</t>
  </si>
  <si>
    <t>SA/Operability11</t>
  </si>
  <si>
    <t>SA/Operability12</t>
  </si>
  <si>
    <t>SA/Operability13</t>
  </si>
  <si>
    <t>SA/Operability14</t>
  </si>
  <si>
    <t>SA/Operability15</t>
  </si>
  <si>
    <t>SA/Operability16</t>
  </si>
  <si>
    <t>SA/Operability17</t>
  </si>
  <si>
    <t>RA/Operability1</t>
  </si>
  <si>
    <t>RA/Operability2</t>
  </si>
  <si>
    <t>RA/Operability3</t>
  </si>
  <si>
    <t>RA/Operability4</t>
  </si>
  <si>
    <t>RA/Operability5</t>
  </si>
  <si>
    <t>RA/Operability6</t>
  </si>
  <si>
    <t>RA/Operability7</t>
  </si>
  <si>
    <t>RA/Operability8</t>
  </si>
  <si>
    <t>SA/RandT1</t>
  </si>
  <si>
    <t>SA/RandT2</t>
  </si>
  <si>
    <t>SA/RandT3</t>
  </si>
  <si>
    <t>SA/RandT4</t>
  </si>
  <si>
    <t>SA/RandT5</t>
  </si>
  <si>
    <t>SA/RandT6</t>
  </si>
  <si>
    <t>SA/RandT7</t>
  </si>
  <si>
    <t>RA/RandT1</t>
  </si>
  <si>
    <t>RA/RandT2</t>
  </si>
  <si>
    <t>RA/RandT3</t>
  </si>
  <si>
    <t>RA/RandT4</t>
  </si>
  <si>
    <t>RA/RandT5</t>
  </si>
  <si>
    <t>SA/SS1</t>
  </si>
  <si>
    <t>SA/SS2</t>
  </si>
  <si>
    <t>SA/SS3</t>
  </si>
  <si>
    <t>SA/SS4</t>
  </si>
  <si>
    <t>SA/SS5</t>
  </si>
  <si>
    <t>RA/SS1</t>
  </si>
  <si>
    <t>RA/SS2</t>
  </si>
  <si>
    <t>RA/SS3</t>
  </si>
  <si>
    <t>RA/SS4</t>
  </si>
  <si>
    <t>SA/TRS1</t>
  </si>
  <si>
    <t>SA/TRS2</t>
  </si>
  <si>
    <t>SA/TRS3</t>
  </si>
  <si>
    <t>SA/TRS4</t>
  </si>
  <si>
    <t>SA/TRS5</t>
  </si>
  <si>
    <t>SA/TRS6</t>
  </si>
  <si>
    <t>SA/TRS7</t>
  </si>
  <si>
    <t>SA/TRS8</t>
  </si>
  <si>
    <t>SA/TRS9</t>
  </si>
  <si>
    <t>SA/TRS10</t>
  </si>
  <si>
    <t>SA/TRS11</t>
  </si>
  <si>
    <t>SA/TRS12</t>
  </si>
  <si>
    <t>SA/TRS13</t>
  </si>
  <si>
    <t>RA/TRS1</t>
  </si>
  <si>
    <t>RA/TRS2</t>
  </si>
  <si>
    <t>RA/TRS3</t>
  </si>
  <si>
    <t>SA/SC1</t>
  </si>
  <si>
    <t>New Review</t>
  </si>
  <si>
    <t>P01: Review tool online</t>
  </si>
  <si>
    <t>23R2</t>
  </si>
  <si>
    <t>Both (4G and 5G)</t>
  </si>
  <si>
    <t>Reviewed</t>
  </si>
  <si>
    <t>Available mandatory reviewers reviewed_x000D_
Marked conditional reviewers reviewed_x000D_
No non-addressed comments_x000D_
No Rejection/Further Dev pending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</si>
</sst>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dd\-mmm\-yyyy"/>
  </numFmts>
  <fonts count="35" x14ac:knownFonts="1">
    <font>
      <sz val="11"/>
      <color theme="1"/>
      <name val="Calibri"/>
      <family val="2"/>
      <scheme val="minor"/>
    </font>
    <font>
      <b/>
      <sz val="11"/>
      <name val="Arial"/>
      <family val="2"/>
    </font>
    <font>
      <sz val="11"/>
      <name val="Arial"/>
      <family val="2"/>
    </font>
    <font>
      <b/>
      <sz val="11"/>
      <color theme="1"/>
      <name val="Calibri"/>
      <family val="2"/>
      <scheme val="minor"/>
    </font>
    <font>
      <sz val="11"/>
      <color theme="0"/>
      <name val="Calibri"/>
      <family val="2"/>
      <scheme val="minor"/>
    </font>
    <font>
      <u/>
      <sz val="11"/>
      <color theme="10"/>
      <name val="Calibri"/>
      <family val="2"/>
      <scheme val="minor"/>
    </font>
    <font>
      <sz val="10"/>
      <name val="Arial"/>
      <family val="2"/>
    </font>
    <font>
      <b/>
      <sz val="10"/>
      <name val="Arial"/>
      <family val="2"/>
    </font>
    <font>
      <b/>
      <sz val="9"/>
      <color indexed="12"/>
      <name val="Arial"/>
      <family val="2"/>
    </font>
    <font>
      <b/>
      <sz val="8"/>
      <color indexed="81"/>
      <name val="Tahoma"/>
      <family val="2"/>
    </font>
    <font>
      <sz val="8"/>
      <color indexed="81"/>
      <name val="Tahoma"/>
      <family val="2"/>
    </font>
    <font>
      <b/>
      <sz val="12"/>
      <color theme="0"/>
      <name val="Calibri"/>
      <family val="2"/>
      <scheme val="minor"/>
    </font>
    <font>
      <sz val="8"/>
      <name val="Calibri"/>
      <family val="2"/>
      <scheme val="minor"/>
    </font>
    <font>
      <b/>
      <sz val="6"/>
      <color indexed="81"/>
      <name val="Tahoma"/>
      <family val="2"/>
    </font>
    <font>
      <sz val="6"/>
      <color indexed="81"/>
      <name val="Tahoma"/>
      <family val="2"/>
    </font>
    <font>
      <sz val="10"/>
      <color theme="1"/>
      <name val="Calibri"/>
      <family val="2"/>
      <scheme val="minor"/>
    </font>
    <font>
      <b/>
      <sz val="10"/>
      <color theme="0"/>
      <name val="Calibri"/>
      <family val="2"/>
      <scheme val="minor"/>
    </font>
    <font>
      <b/>
      <sz val="14"/>
      <color rgb="FF0070C0"/>
      <name val="Calibri"/>
      <family val="2"/>
      <scheme val="minor"/>
    </font>
    <font>
      <sz val="16"/>
      <color rgb="FF335BA3"/>
      <name val="Calibri"/>
      <family val="2"/>
      <scheme val="minor"/>
    </font>
    <font>
      <b/>
      <sz val="6"/>
      <name val="Arial"/>
      <family val="2"/>
    </font>
    <font>
      <b/>
      <sz val="14"/>
      <name val="Arial"/>
      <family val="2"/>
    </font>
    <font>
      <sz val="16"/>
      <color theme="0"/>
      <name val="Calibri"/>
      <family val="2"/>
      <scheme val="minor"/>
    </font>
    <font>
      <b/>
      <sz val="14"/>
      <name val="Calibri"/>
      <family val="2"/>
      <scheme val="minor"/>
    </font>
    <font>
      <b/>
      <sz val="10"/>
      <color indexed="9"/>
      <name val="Calibri"/>
      <family val="2"/>
      <scheme val="minor"/>
    </font>
    <font>
      <b/>
      <sz val="10"/>
      <color theme="1"/>
      <name val="Calibri"/>
      <family val="2"/>
      <scheme val="minor"/>
    </font>
    <font>
      <b/>
      <sz val="14"/>
      <color rgb="FFC00000"/>
      <name val="Calibri"/>
      <family val="2"/>
      <scheme val="minor"/>
    </font>
    <font>
      <b/>
      <u/>
      <sz val="14"/>
      <color rgb="FFC00000"/>
      <name val="Calibri"/>
      <family val="2"/>
      <scheme val="minor"/>
    </font>
    <font>
      <b/>
      <sz val="11"/>
      <color theme="5" tint="0.59999389629810485"/>
      <name val="Arial"/>
      <family val="2"/>
    </font>
    <font>
      <b/>
      <sz val="10"/>
      <name val="Calibri"/>
      <family val="2"/>
      <scheme val="minor"/>
    </font>
    <font>
      <u/>
      <sz val="10"/>
      <color theme="10"/>
      <name val="Calibri"/>
      <family val="2"/>
      <scheme val="minor"/>
    </font>
    <font>
      <b/>
      <sz val="11"/>
      <name val="Calibri"/>
      <family val="2"/>
      <scheme val="minor"/>
    </font>
    <font>
      <sz val="11"/>
      <name val="Calibri"/>
      <family val="2"/>
      <scheme val="minor"/>
    </font>
    <font>
      <u/>
      <sz val="11"/>
      <name val="Calibri"/>
      <family val="2"/>
      <scheme val="minor"/>
    </font>
    <font>
      <b/>
      <sz val="12"/>
      <name val="Calibri"/>
      <family val="2"/>
      <scheme val="minor"/>
    </font>
    <font>
      <sz val="10"/>
      <color rgb="FF000000"/>
      <name val="Calibri"/>
      <family val="2"/>
      <scheme val="minor"/>
    </font>
  </fonts>
  <fills count="12">
    <fill>
      <patternFill patternType="none"/>
    </fill>
    <fill>
      <patternFill patternType="gray125"/>
    </fill>
    <fill>
      <patternFill patternType="solid">
        <fgColor theme="0"/>
        <bgColor indexed="64"/>
      </patternFill>
    </fill>
    <fill>
      <patternFill patternType="solid">
        <fgColor indexed="9"/>
        <bgColor indexed="64"/>
      </patternFill>
    </fill>
    <fill>
      <patternFill patternType="solid">
        <fgColor indexed="18"/>
        <bgColor indexed="64"/>
      </patternFill>
    </fill>
    <fill>
      <gradientFill>
        <stop position="0">
          <color rgb="FF00FFFF"/>
        </stop>
        <stop position="0.5">
          <color theme="0"/>
        </stop>
        <stop position="1">
          <color rgb="FF00FFFF"/>
        </stop>
      </gradientFill>
    </fill>
    <fill>
      <gradientFill>
        <stop position="0">
          <color rgb="FF00FFFF"/>
        </stop>
        <stop position="0.5">
          <color rgb="FFFFFFFF"/>
        </stop>
        <stop position="1">
          <color rgb="FF00FFFF"/>
        </stop>
      </gradientFill>
    </fill>
    <fill>
      <gradientFill>
        <stop position="0">
          <color rgb="FF66FFFF"/>
        </stop>
        <stop position="0.5">
          <color theme="0"/>
        </stop>
        <stop position="1">
          <color rgb="FF66FFFF"/>
        </stop>
      </gradientFill>
    </fill>
    <fill>
      <patternFill patternType="solid">
        <fgColor theme="0"/>
        <bgColor auto="1"/>
      </patternFill>
    </fill>
    <fill>
      <gradientFill>
        <stop position="0">
          <color rgb="FFCCFFFF"/>
        </stop>
        <stop position="0.5">
          <color theme="0"/>
        </stop>
        <stop position="1">
          <color rgb="FFCCFFFF"/>
        </stop>
      </gradientFill>
    </fill>
    <fill>
      <gradientFill>
        <stop position="0">
          <color theme="5" tint="0.59999389629810485"/>
        </stop>
        <stop position="0.5">
          <color theme="0"/>
        </stop>
        <stop position="1">
          <color theme="5" tint="0.59999389629810485"/>
        </stop>
      </gradientFill>
    </fill>
    <fill>
      <patternFill patternType="solid">
        <fgColor indexed="11"/>
        <bgColor indexed="64"/>
      </patternFill>
    </fill>
  </fills>
  <borders count="49">
    <border>
      <left/>
      <right/>
      <top/>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hair">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medium">
        <color indexed="64"/>
      </bottom>
      <diagonal/>
    </border>
    <border>
      <left/>
      <right style="hair">
        <color indexed="64"/>
      </right>
      <top style="hair">
        <color indexed="64"/>
      </top>
      <bottom style="medium">
        <color indexed="64"/>
      </bottom>
      <diagonal/>
    </border>
    <border>
      <left style="medium">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medium">
        <color indexed="64"/>
      </top>
      <bottom style="hair">
        <color indexed="64"/>
      </bottom>
      <diagonal/>
    </border>
    <border>
      <left/>
      <right/>
      <top style="hair">
        <color indexed="64"/>
      </top>
      <bottom style="hair">
        <color indexed="64"/>
      </bottom>
      <diagonal/>
    </border>
    <border>
      <left/>
      <right/>
      <top style="hair">
        <color indexed="64"/>
      </top>
      <bottom style="medium">
        <color indexed="64"/>
      </bottom>
      <diagonal/>
    </border>
    <border>
      <left/>
      <right style="medium">
        <color indexed="64"/>
      </right>
      <top style="hair">
        <color indexed="64"/>
      </top>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right/>
      <top/>
      <bottom style="hair">
        <color indexed="64"/>
      </bottom>
      <diagonal/>
    </border>
    <border>
      <left style="dotted">
        <color indexed="64"/>
      </left>
      <right style="medium">
        <color indexed="64"/>
      </right>
      <top style="dotted">
        <color indexed="64"/>
      </top>
      <bottom style="hair">
        <color indexed="64"/>
      </bottom>
      <diagonal/>
    </border>
    <border>
      <left style="dotted">
        <color indexed="64"/>
      </left>
      <right style="medium">
        <color indexed="64"/>
      </right>
      <top style="dotted">
        <color indexed="64"/>
      </top>
      <bottom style="medium">
        <color indexed="64"/>
      </bottom>
      <diagonal/>
    </border>
  </borders>
  <cellStyleXfs count="3">
    <xf numFmtId="0" fontId="0" fillId="0" borderId="0"/>
    <xf numFmtId="0" fontId="5" fillId="0" borderId="0" applyNumberFormat="0" applyFill="0" applyBorder="0" applyAlignment="0" applyProtection="0"/>
    <xf numFmtId="0" fontId="2" fillId="0" borderId="0"/>
  </cellStyleXfs>
  <cellXfs count="131">
    <xf numFmtId="0" fontId="0" fillId="0" borderId="0" xfId="0"/>
    <xf numFmtId="0" fontId="2" fillId="0" borderId="0" xfId="2"/>
    <xf numFmtId="0" fontId="2" fillId="0" borderId="0" xfId="2" applyAlignment="1">
      <alignment horizontal="left" vertical="top"/>
    </xf>
    <xf numFmtId="0" fontId="6" fillId="0" borderId="0" xfId="2" applyFont="1" applyAlignment="1">
      <alignment vertical="top"/>
    </xf>
    <xf numFmtId="0" fontId="2" fillId="0" borderId="0" xfId="2" applyAlignment="1">
      <alignment vertical="top"/>
    </xf>
    <xf numFmtId="0" fontId="6" fillId="0" borderId="0" xfId="2" applyFont="1" applyAlignment="1">
      <alignment wrapText="1"/>
    </xf>
    <xf numFmtId="0" fontId="2" fillId="2" borderId="0" xfId="2" applyFill="1"/>
    <xf numFmtId="0" fontId="8" fillId="0" borderId="0" xfId="2" applyFont="1"/>
    <xf numFmtId="0" fontId="6" fillId="0" borderId="0" xfId="2" applyFont="1" applyAlignment="1">
      <alignment horizontal="center" vertical="center" wrapText="1"/>
    </xf>
    <xf numFmtId="0" fontId="2" fillId="0" borderId="0" xfId="2" applyAlignment="1">
      <alignment horizontal="center" vertical="center" wrapText="1"/>
    </xf>
    <xf numFmtId="0" fontId="2" fillId="0" borderId="0" xfId="2" applyAlignment="1">
      <alignment wrapText="1"/>
    </xf>
    <xf numFmtId="0" fontId="2" fillId="0" borderId="0" xfId="2" applyAlignment="1">
      <alignment horizontal="center" vertical="center"/>
    </xf>
    <xf numFmtId="0" fontId="15" fillId="3" borderId="18" xfId="0" applyFont="1" applyFill="1" applyBorder="1" applyAlignment="1"/>
    <xf numFmtId="0" fontId="15" fillId="3" borderId="10" xfId="0" applyFont="1" applyFill="1" applyBorder="1" applyAlignment="1"/>
    <xf numFmtId="0" fontId="15" fillId="3" borderId="20" xfId="0" applyFont="1" applyFill="1" applyBorder="1" applyAlignment="1"/>
    <xf numFmtId="0" fontId="16" fillId="4" borderId="17" xfId="0" applyFont="1" applyFill="1" applyBorder="1" applyAlignment="1"/>
    <xf numFmtId="0" fontId="16" fillId="4" borderId="16" xfId="0" applyFont="1" applyFill="1" applyBorder="1" applyAlignment="1"/>
    <xf numFmtId="0" fontId="16" fillId="4" borderId="19" xfId="0" applyFont="1" applyFill="1" applyBorder="1" applyAlignment="1"/>
    <xf numFmtId="0" fontId="0" fillId="0" borderId="0" xfId="0" applyFont="1" applyAlignment="1"/>
    <xf numFmtId="164" fontId="6" fillId="9" borderId="1" xfId="2" applyNumberFormat="1" applyFont="1" applyFill="1" applyBorder="1" applyAlignment="1">
      <alignment horizontal="center" vertical="top" wrapText="1"/>
    </xf>
    <xf numFmtId="49" fontId="6" fillId="9" borderId="5" xfId="2" applyNumberFormat="1" applyFont="1" applyFill="1" applyBorder="1" applyAlignment="1">
      <alignment horizontal="left" vertical="center" wrapText="1"/>
    </xf>
    <xf numFmtId="0" fontId="6" fillId="9" borderId="1" xfId="2" applyFont="1" applyFill="1" applyBorder="1" applyAlignment="1">
      <alignment horizontal="left" vertical="center" wrapText="1"/>
    </xf>
    <xf numFmtId="0" fontId="6" fillId="9" borderId="1" xfId="2" applyFont="1" applyFill="1" applyBorder="1" applyAlignment="1">
      <alignment vertical="center" wrapText="1"/>
    </xf>
    <xf numFmtId="0" fontId="6" fillId="9" borderId="5" xfId="2" applyFont="1" applyFill="1" applyBorder="1" applyAlignment="1">
      <alignment vertical="center" wrapText="1"/>
    </xf>
    <xf numFmtId="0" fontId="6" fillId="9" borderId="1" xfId="2" applyFont="1" applyFill="1" applyBorder="1" applyAlignment="1">
      <alignment vertical="top" wrapText="1"/>
    </xf>
    <xf numFmtId="49" fontId="6" fillId="9" borderId="1" xfId="2" applyNumberFormat="1" applyFont="1" applyFill="1" applyBorder="1" applyAlignment="1">
      <alignment vertical="center" wrapText="1"/>
    </xf>
    <xf numFmtId="49" fontId="6" fillId="9" borderId="5" xfId="2" applyNumberFormat="1" applyFont="1" applyFill="1" applyBorder="1" applyAlignment="1">
      <alignment vertical="center" wrapText="1"/>
    </xf>
    <xf numFmtId="0" fontId="6" fillId="9" borderId="6" xfId="2" applyFont="1" applyFill="1" applyBorder="1" applyAlignment="1">
      <alignment vertical="center" wrapText="1"/>
    </xf>
    <xf numFmtId="0" fontId="6" fillId="9" borderId="7" xfId="2" applyFont="1" applyFill="1" applyBorder="1" applyAlignment="1">
      <alignment vertical="center" wrapText="1"/>
    </xf>
    <xf numFmtId="0" fontId="6" fillId="9" borderId="7" xfId="2" applyFont="1" applyFill="1" applyBorder="1" applyAlignment="1">
      <alignment vertical="top" wrapText="1"/>
    </xf>
    <xf numFmtId="164" fontId="6" fillId="9" borderId="7" xfId="2" applyNumberFormat="1" applyFont="1" applyFill="1" applyBorder="1" applyAlignment="1">
      <alignment horizontal="center" vertical="top" wrapText="1"/>
    </xf>
    <xf numFmtId="0" fontId="5" fillId="9" borderId="29" xfId="1" applyNumberFormat="1" applyFill="1" applyBorder="1" applyAlignment="1">
      <alignment horizontal="center" vertical="center" wrapText="1"/>
    </xf>
    <xf numFmtId="0" fontId="0" fillId="6" borderId="0" xfId="0" applyFont="1" applyFill="1" applyAlignment="1"/>
    <xf numFmtId="0" fontId="16" fillId="4" borderId="30" xfId="0" applyFont="1" applyFill="1" applyBorder="1" applyAlignment="1"/>
    <xf numFmtId="0" fontId="21" fillId="2" borderId="0" xfId="0" applyFont="1" applyFill="1" applyAlignment="1">
      <alignment vertical="center"/>
    </xf>
    <xf numFmtId="0" fontId="4" fillId="2" borderId="0" xfId="0" applyFont="1" applyFill="1" applyAlignment="1"/>
    <xf numFmtId="0" fontId="0" fillId="8" borderId="0" xfId="0" applyFont="1" applyFill="1" applyAlignment="1"/>
    <xf numFmtId="0" fontId="18" fillId="8" borderId="0" xfId="0" applyFont="1" applyFill="1" applyAlignment="1">
      <alignment vertical="center"/>
    </xf>
    <xf numFmtId="0" fontId="0" fillId="2" borderId="0" xfId="0" applyFont="1" applyFill="1" applyAlignment="1"/>
    <xf numFmtId="0" fontId="23" fillId="4" borderId="17" xfId="0" applyFont="1" applyFill="1" applyBorder="1" applyAlignment="1"/>
    <xf numFmtId="0" fontId="23" fillId="4" borderId="16" xfId="0" applyFont="1" applyFill="1" applyBorder="1" applyAlignment="1"/>
    <xf numFmtId="165" fontId="24" fillId="3" borderId="10" xfId="0" applyNumberFormat="1" applyFont="1" applyFill="1" applyBorder="1" applyAlignment="1">
      <alignment horizontal="left"/>
    </xf>
    <xf numFmtId="165" fontId="24" fillId="3" borderId="20" xfId="0" applyNumberFormat="1" applyFont="1" applyFill="1" applyBorder="1" applyAlignment="1">
      <alignment horizontal="left"/>
    </xf>
    <xf numFmtId="0" fontId="22" fillId="5" borderId="0" xfId="0" applyFont="1" applyFill="1" applyAlignment="1">
      <alignment horizontal="center"/>
    </xf>
    <xf numFmtId="0" fontId="22" fillId="5" borderId="0" xfId="0" applyFont="1" applyFill="1" applyAlignment="1"/>
    <xf numFmtId="0" fontId="22" fillId="5" borderId="0" xfId="0" applyFont="1" applyFill="1" applyAlignment="1">
      <alignment horizontal="center" vertical="center"/>
    </xf>
    <xf numFmtId="0" fontId="17" fillId="5" borderId="0" xfId="0" applyFont="1" applyFill="1" applyAlignment="1"/>
    <xf numFmtId="0" fontId="6" fillId="9" borderId="31" xfId="2" applyFont="1" applyFill="1" applyBorder="1" applyAlignment="1">
      <alignment horizontal="center" vertical="center" wrapText="1"/>
    </xf>
    <xf numFmtId="0" fontId="6" fillId="9" borderId="32" xfId="2" applyFont="1" applyFill="1" applyBorder="1" applyAlignment="1">
      <alignment horizontal="left" vertical="center" wrapText="1"/>
    </xf>
    <xf numFmtId="0" fontId="5" fillId="9" borderId="29" xfId="1" applyNumberFormat="1" applyFill="1" applyBorder="1" applyAlignment="1">
      <alignment horizontal="center" vertical="top" wrapText="1"/>
    </xf>
    <xf numFmtId="0" fontId="6" fillId="9" borderId="29" xfId="2" applyFont="1" applyFill="1" applyBorder="1" applyAlignment="1">
      <alignment horizontal="center" vertical="center" wrapText="1"/>
    </xf>
    <xf numFmtId="0" fontId="5" fillId="9" borderId="31" xfId="1" applyNumberFormat="1" applyFill="1" applyBorder="1" applyAlignment="1">
      <alignment horizontal="center" vertical="center" wrapText="1"/>
    </xf>
    <xf numFmtId="0" fontId="6" fillId="9" borderId="33" xfId="2" applyFont="1" applyFill="1" applyBorder="1" applyAlignment="1">
      <alignment horizontal="center" vertical="center" wrapText="1"/>
    </xf>
    <xf numFmtId="0" fontId="6" fillId="9" borderId="34" xfId="2" applyFont="1" applyFill="1" applyBorder="1" applyAlignment="1">
      <alignment horizontal="left" vertical="center" wrapText="1"/>
    </xf>
    <xf numFmtId="0" fontId="7" fillId="5" borderId="14" xfId="2" applyFont="1" applyFill="1" applyBorder="1" applyAlignment="1">
      <alignment horizontal="center" vertical="center" wrapText="1"/>
    </xf>
    <xf numFmtId="0" fontId="2" fillId="9" borderId="0" xfId="2" applyFill="1" applyBorder="1" applyAlignment="1">
      <alignment horizontal="left" vertical="center" wrapText="1"/>
    </xf>
    <xf numFmtId="0" fontId="2" fillId="9" borderId="0" xfId="2" applyFill="1" applyBorder="1"/>
    <xf numFmtId="0" fontId="6" fillId="9" borderId="0" xfId="2" applyFont="1" applyFill="1" applyBorder="1" applyAlignment="1">
      <alignment wrapText="1"/>
    </xf>
    <xf numFmtId="0" fontId="7" fillId="5" borderId="28" xfId="2" applyFont="1" applyFill="1" applyBorder="1" applyAlignment="1">
      <alignment horizontal="center" vertical="center" wrapText="1"/>
    </xf>
    <xf numFmtId="0" fontId="1" fillId="10" borderId="3" xfId="2" applyFont="1" applyFill="1" applyBorder="1" applyAlignment="1">
      <alignment horizontal="center" vertical="center" wrapText="1"/>
    </xf>
    <xf numFmtId="0" fontId="7" fillId="10" borderId="35" xfId="2" applyFont="1" applyFill="1" applyBorder="1" applyAlignment="1">
      <alignment horizontal="center" wrapText="1"/>
    </xf>
    <xf numFmtId="0" fontId="6" fillId="10" borderId="36" xfId="2" applyFont="1" applyFill="1" applyBorder="1" applyAlignment="1">
      <alignment horizontal="center" vertical="center"/>
    </xf>
    <xf numFmtId="0" fontId="7" fillId="10" borderId="37" xfId="2" applyFont="1" applyFill="1" applyBorder="1" applyAlignment="1">
      <alignment horizontal="center" wrapText="1"/>
    </xf>
    <xf numFmtId="0" fontId="6" fillId="10" borderId="38" xfId="2" applyFont="1" applyFill="1" applyBorder="1" applyAlignment="1">
      <alignment horizontal="center" vertical="center"/>
    </xf>
    <xf numFmtId="0" fontId="7" fillId="10" borderId="39" xfId="2" applyFont="1" applyFill="1" applyBorder="1" applyAlignment="1">
      <alignment horizontal="center" wrapText="1"/>
    </xf>
    <xf numFmtId="0" fontId="6" fillId="10" borderId="40" xfId="2" applyFont="1" applyFill="1" applyBorder="1" applyAlignment="1">
      <alignment horizontal="center" vertical="center"/>
    </xf>
    <xf numFmtId="0" fontId="6" fillId="10" borderId="41" xfId="2" applyFont="1" applyFill="1" applyBorder="1" applyAlignment="1">
      <alignment horizontal="center" vertical="center"/>
    </xf>
    <xf numFmtId="0" fontId="6" fillId="10" borderId="42" xfId="2" applyFont="1" applyFill="1" applyBorder="1" applyAlignment="1">
      <alignment horizontal="center" vertical="center"/>
    </xf>
    <xf numFmtId="0" fontId="6" fillId="10" borderId="43" xfId="2" applyFont="1" applyFill="1" applyBorder="1" applyAlignment="1">
      <alignment horizontal="center" vertical="center"/>
    </xf>
    <xf numFmtId="0" fontId="6" fillId="10" borderId="13" xfId="2" applyFont="1" applyFill="1" applyBorder="1" applyAlignment="1">
      <alignment horizontal="center" vertical="center"/>
    </xf>
    <xf numFmtId="0" fontId="27" fillId="10" borderId="13" xfId="2" applyFont="1" applyFill="1" applyBorder="1" applyAlignment="1">
      <alignment vertical="center" wrapText="1"/>
    </xf>
    <xf numFmtId="49" fontId="6" fillId="9" borderId="44" xfId="2" applyNumberFormat="1" applyFont="1" applyFill="1" applyBorder="1" applyAlignment="1">
      <alignment horizontal="left" vertical="center" wrapText="1"/>
    </xf>
    <xf numFmtId="0" fontId="6" fillId="9" borderId="45" xfId="2" applyFont="1" applyFill="1" applyBorder="1" applyAlignment="1">
      <alignment horizontal="left" vertical="center" wrapText="1"/>
    </xf>
    <xf numFmtId="164" fontId="6" fillId="9" borderId="45" xfId="2" applyNumberFormat="1" applyFont="1" applyFill="1" applyBorder="1" applyAlignment="1">
      <alignment horizontal="center" vertical="top" wrapText="1"/>
    </xf>
    <xf numFmtId="0" fontId="6" fillId="9" borderId="46" xfId="2" applyFont="1" applyFill="1" applyBorder="1" applyAlignment="1">
      <alignment horizontal="left" vertical="center" wrapText="1"/>
    </xf>
    <xf numFmtId="0" fontId="7" fillId="5" borderId="15" xfId="2" applyFont="1" applyFill="1" applyBorder="1" applyAlignment="1">
      <alignment horizontal="center" vertical="center" wrapText="1"/>
    </xf>
    <xf numFmtId="0" fontId="6" fillId="9" borderId="47" xfId="2" applyFont="1" applyFill="1" applyBorder="1" applyAlignment="1">
      <alignment horizontal="center" vertical="center" wrapText="1"/>
    </xf>
    <xf numFmtId="0" fontId="6" fillId="9" borderId="48" xfId="2" applyFont="1" applyFill="1" applyBorder="1" applyAlignment="1">
      <alignment horizontal="center" vertical="center" wrapText="1"/>
    </xf>
    <xf numFmtId="0" fontId="17" fillId="5" borderId="8" xfId="0" applyFont="1" applyFill="1" applyBorder="1" applyAlignment="1"/>
    <xf numFmtId="0" fontId="22" fillId="5" borderId="12" xfId="0" applyFont="1" applyFill="1" applyBorder="1" applyAlignment="1"/>
    <xf numFmtId="165" fontId="15" fillId="3" borderId="10" xfId="0" applyNumberFormat="1" applyFont="1" applyFill="1" applyBorder="1" applyAlignment="1">
      <alignment horizontal="left"/>
    </xf>
    <xf numFmtId="0" fontId="28" fillId="3" borderId="30" xfId="0" applyFont="1" applyFill="1" applyBorder="1" applyAlignment="1"/>
    <xf numFmtId="0" fontId="29" fillId="3" borderId="18" xfId="1" applyFont="1" applyFill="1" applyBorder="1" applyAlignment="1"/>
    <xf numFmtId="0" fontId="30" fillId="2" borderId="0" xfId="0" applyFont="1" applyFill="1"/>
    <xf numFmtId="0" fontId="31" fillId="2" borderId="0" xfId="0" applyFont="1" applyFill="1"/>
    <xf numFmtId="0" fontId="32" fillId="2" borderId="0" xfId="1" applyFont="1" applyFill="1"/>
    <xf numFmtId="0" fontId="32" fillId="2" borderId="0" xfId="1" applyFont="1" applyFill="1" applyAlignment="1"/>
    <xf numFmtId="0" fontId="1" fillId="2" borderId="0" xfId="0" applyFont="1" applyFill="1"/>
    <xf numFmtId="0" fontId="5" fillId="2" borderId="0" xfId="1" applyFill="1"/>
    <xf numFmtId="0" fontId="33" fillId="7" borderId="0" xfId="0" applyFont="1" applyFill="1" applyAlignment="1">
      <alignment horizontal="center" vertical="center" wrapText="1"/>
    </xf>
    <xf numFmtId="0" fontId="18" fillId="7" borderId="0" xfId="0" applyFont="1" applyFill="1" applyAlignment="1">
      <alignment horizontal="center" vertical="center"/>
    </xf>
    <xf numFmtId="0" fontId="18" fillId="5" borderId="4" xfId="0" applyFont="1" applyFill="1" applyBorder="1" applyAlignment="1">
      <alignment horizontal="center" vertical="center"/>
    </xf>
    <xf numFmtId="0" fontId="18" fillId="5" borderId="0" xfId="0" applyFont="1" applyFill="1" applyBorder="1" applyAlignment="1">
      <alignment horizontal="center" vertical="center"/>
    </xf>
    <xf numFmtId="0" fontId="18" fillId="5" borderId="3" xfId="0" applyFont="1" applyFill="1" applyBorder="1" applyAlignment="1">
      <alignment horizontal="center" vertical="center"/>
    </xf>
    <xf numFmtId="0" fontId="0" fillId="6" borderId="0" xfId="0" applyFont="1" applyFill="1" applyAlignment="1">
      <alignment horizontal="center"/>
    </xf>
    <xf numFmtId="0" fontId="18" fillId="5" borderId="0" xfId="0" applyFont="1" applyFill="1" applyAlignment="1">
      <alignment horizontal="center" vertical="center"/>
    </xf>
    <xf numFmtId="0" fontId="26" fillId="6" borderId="0" xfId="1" applyFont="1" applyFill="1" applyAlignment="1">
      <alignment horizontal="center" vertical="center" textRotation="90" wrapText="1"/>
    </xf>
    <xf numFmtId="0" fontId="25" fillId="6" borderId="0" xfId="0" applyFont="1" applyFill="1" applyAlignment="1">
      <alignment horizontal="center" vertical="center" textRotation="90"/>
    </xf>
    <xf numFmtId="0" fontId="0" fillId="5" borderId="0" xfId="0" applyFont="1" applyFill="1" applyBorder="1" applyAlignment="1">
      <alignment horizontal="center"/>
    </xf>
    <xf numFmtId="0" fontId="15" fillId="5" borderId="0" xfId="0" applyFont="1" applyFill="1" applyBorder="1" applyAlignment="1">
      <alignment horizontal="center"/>
    </xf>
    <xf numFmtId="0" fontId="18" fillId="7" borderId="27" xfId="0" applyFont="1" applyFill="1" applyBorder="1" applyAlignment="1">
      <alignment horizontal="center" vertical="center"/>
    </xf>
    <xf numFmtId="0" fontId="18" fillId="7" borderId="0" xfId="0" applyFont="1" applyFill="1" applyBorder="1" applyAlignment="1">
      <alignment horizontal="center" vertical="center"/>
    </xf>
    <xf numFmtId="0" fontId="22" fillId="5" borderId="0" xfId="0" applyFont="1" applyFill="1" applyAlignment="1">
      <alignment horizontal="center"/>
    </xf>
    <xf numFmtId="0" fontId="0" fillId="5" borderId="8" xfId="0" applyFont="1" applyFill="1" applyBorder="1" applyAlignment="1">
      <alignment horizontal="center"/>
    </xf>
    <xf numFmtId="0" fontId="15" fillId="5" borderId="8" xfId="0" applyFont="1" applyFill="1" applyBorder="1" applyAlignment="1">
      <alignment horizontal="center"/>
    </xf>
    <xf numFmtId="0" fontId="34" fillId="11" borderId="24" xfId="0" applyFont="1" applyFill="1" applyBorder="1" applyAlignment="1">
      <alignment horizontal="center" vertical="center" wrapText="1"/>
    </xf>
    <xf numFmtId="0" fontId="0" fillId="3" borderId="25" xfId="0" applyFont="1" applyFill="1" applyBorder="1" applyAlignment="1">
      <alignment horizontal="center" vertical="center" wrapText="1"/>
    </xf>
    <xf numFmtId="0" fontId="0" fillId="0" borderId="25" xfId="0" applyFont="1" applyBorder="1" applyAlignment="1">
      <alignment horizontal="center" vertical="center" wrapText="1"/>
    </xf>
    <xf numFmtId="0" fontId="0" fillId="0" borderId="26" xfId="0" applyFont="1" applyBorder="1" applyAlignment="1">
      <alignment horizontal="center" vertical="center" wrapText="1"/>
    </xf>
    <xf numFmtId="0" fontId="11" fillId="4" borderId="21" xfId="0" applyFont="1" applyFill="1" applyBorder="1" applyAlignment="1">
      <alignment horizontal="center" vertical="center" wrapText="1"/>
    </xf>
    <xf numFmtId="0" fontId="11" fillId="4" borderId="22" xfId="0" applyFont="1" applyFill="1" applyBorder="1" applyAlignment="1">
      <alignment horizontal="center" vertical="center" wrapText="1"/>
    </xf>
    <xf numFmtId="0" fontId="11" fillId="4" borderId="23" xfId="0" applyFont="1" applyFill="1" applyBorder="1" applyAlignment="1">
      <alignment horizontal="center" vertical="center" wrapText="1"/>
    </xf>
    <xf numFmtId="0" fontId="7" fillId="10" borderId="39" xfId="2" applyFont="1" applyFill="1" applyBorder="1" applyAlignment="1">
      <alignment horizontal="center" vertical="center" wrapText="1"/>
    </xf>
    <xf numFmtId="0" fontId="7" fillId="10" borderId="42" xfId="2" applyFont="1" applyFill="1" applyBorder="1" applyAlignment="1">
      <alignment horizontal="center" vertical="center" wrapText="1"/>
    </xf>
    <xf numFmtId="0" fontId="1" fillId="10" borderId="9" xfId="2" applyFont="1" applyFill="1" applyBorder="1" applyAlignment="1">
      <alignment horizontal="center" vertical="center"/>
    </xf>
    <xf numFmtId="0" fontId="1" fillId="10" borderId="3" xfId="2" applyFont="1" applyFill="1" applyBorder="1" applyAlignment="1">
      <alignment horizontal="center" vertical="center"/>
    </xf>
    <xf numFmtId="0" fontId="20" fillId="10" borderId="2" xfId="2" applyFont="1" applyFill="1" applyBorder="1" applyAlignment="1">
      <alignment horizontal="center" vertical="center"/>
    </xf>
    <xf numFmtId="0" fontId="20" fillId="10" borderId="9" xfId="2" applyFont="1" applyFill="1" applyBorder="1" applyAlignment="1">
      <alignment horizontal="center" vertical="center"/>
    </xf>
    <xf numFmtId="0" fontId="20" fillId="10" borderId="4" xfId="2" applyFont="1" applyFill="1" applyBorder="1" applyAlignment="1">
      <alignment horizontal="center" vertical="center"/>
    </xf>
    <xf numFmtId="0" fontId="20" fillId="10" borderId="3" xfId="2" applyFont="1" applyFill="1" applyBorder="1" applyAlignment="1">
      <alignment horizontal="center" vertical="center"/>
    </xf>
    <xf numFmtId="0" fontId="20" fillId="10" borderId="11" xfId="2" applyFont="1" applyFill="1" applyBorder="1" applyAlignment="1">
      <alignment horizontal="center" vertical="center"/>
    </xf>
    <xf numFmtId="0" fontId="20" fillId="10" borderId="13" xfId="2" applyFont="1" applyFill="1" applyBorder="1" applyAlignment="1">
      <alignment horizontal="center" vertical="center"/>
    </xf>
    <xf numFmtId="0" fontId="20" fillId="10" borderId="2" xfId="2" applyFont="1" applyFill="1" applyBorder="1" applyAlignment="1">
      <alignment horizontal="center" wrapText="1"/>
    </xf>
    <xf numFmtId="0" fontId="20" fillId="10" borderId="8" xfId="2" applyFont="1" applyFill="1" applyBorder="1" applyAlignment="1">
      <alignment horizontal="center" wrapText="1"/>
    </xf>
    <xf numFmtId="0" fontId="20" fillId="10" borderId="9" xfId="2" applyFont="1" applyFill="1" applyBorder="1" applyAlignment="1">
      <alignment horizontal="center" wrapText="1"/>
    </xf>
    <xf numFmtId="0" fontId="7" fillId="10" borderId="35" xfId="2" applyFont="1" applyFill="1" applyBorder="1" applyAlignment="1">
      <alignment horizontal="center" vertical="center" wrapText="1"/>
    </xf>
    <xf numFmtId="0" fontId="7" fillId="10" borderId="40" xfId="2" applyFont="1" applyFill="1" applyBorder="1" applyAlignment="1">
      <alignment horizontal="center" vertical="center" wrapText="1"/>
    </xf>
    <xf numFmtId="0" fontId="7" fillId="10" borderId="37" xfId="2" applyFont="1" applyFill="1" applyBorder="1" applyAlignment="1">
      <alignment horizontal="center" vertical="center" wrapText="1"/>
    </xf>
    <xf numFmtId="0" fontId="7" fillId="10" borderId="41" xfId="2" applyFont="1" applyFill="1" applyBorder="1" applyAlignment="1">
      <alignment horizontal="center" vertical="center" wrapText="1"/>
    </xf>
    <xf numFmtId="0" fontId="31" fillId="2" borderId="0" xfId="0" applyFont="1" applyFill="1" applyAlignment="1">
      <alignment horizontal="left" vertical="top" wrapText="1"/>
    </xf>
    <xf numFmtId="0" fontId="31" fillId="2" borderId="0" xfId="0" applyFont="1" applyFill="1" applyAlignment="1">
      <alignment horizontal="left" vertical="top"/>
    </xf>
  </cellXfs>
  <cellStyles count="3">
    <cellStyle name="Hyperlink" xfId="1" builtinId="8"/>
    <cellStyle name="Normal" xfId="0" builtinId="0"/>
    <cellStyle name="Normal 2" xfId="2" xr:uid="{E36D31C2-8493-43FB-A588-AC532335E9C8}"/>
  </cellStyles>
  <dxfs count="17">
    <dxf>
      <font>
        <b/>
        <i val="0"/>
        <condense val="0"/>
        <extend val="0"/>
        <color indexed="9"/>
      </font>
      <fill>
        <patternFill>
          <bgColor rgb="FF99FF99"/>
        </patternFill>
      </fill>
    </dxf>
    <dxf>
      <font>
        <b/>
        <i val="0"/>
        <condense val="0"/>
        <extend val="0"/>
        <color indexed="9"/>
      </font>
      <fill>
        <patternFill>
          <bgColor theme="0" tint="-0.14996795556505021"/>
        </patternFill>
      </fill>
    </dxf>
    <dxf>
      <font>
        <b/>
        <i val="0"/>
        <condense val="0"/>
        <extend val="0"/>
        <color auto="1"/>
      </font>
      <fill>
        <patternFill>
          <bgColor rgb="FFFFFFCC"/>
        </patternFill>
      </fill>
    </dxf>
    <dxf>
      <font>
        <b/>
        <i val="0"/>
        <color theme="0"/>
      </font>
      <fill>
        <patternFill>
          <bgColor rgb="FF00B0F0"/>
        </patternFill>
      </fill>
    </dxf>
    <dxf>
      <fill>
        <gradientFill>
          <stop position="0">
            <color rgb="FFCCFFFF"/>
          </stop>
          <stop position="0.5">
            <color theme="0"/>
          </stop>
          <stop position="1">
            <color rgb="FFCCFFFF"/>
          </stop>
        </gradientFill>
      </fill>
    </dxf>
    <dxf>
      <fill>
        <patternFill>
          <bgColor rgb="FFFF7C80"/>
        </patternFill>
      </fill>
    </dxf>
    <dxf>
      <fill>
        <patternFill>
          <bgColor rgb="FFABFFD1"/>
        </patternFill>
      </fill>
    </dxf>
    <dxf>
      <fill>
        <patternFill>
          <bgColor rgb="FF7DFFB8"/>
        </patternFill>
      </fill>
    </dxf>
    <dxf>
      <fill>
        <patternFill>
          <bgColor rgb="FFFF7C80"/>
        </patternFill>
      </fill>
    </dxf>
    <dxf>
      <font>
        <b/>
        <i val="0"/>
        <condense val="0"/>
        <extend val="0"/>
        <color indexed="9"/>
      </font>
      <fill>
        <patternFill>
          <bgColor rgb="FF99FF99"/>
        </patternFill>
      </fill>
    </dxf>
    <dxf>
      <font>
        <b/>
        <i val="0"/>
        <condense val="0"/>
        <extend val="0"/>
        <color indexed="9"/>
      </font>
      <fill>
        <patternFill>
          <bgColor theme="0" tint="-0.14996795556505021"/>
        </patternFill>
      </fill>
    </dxf>
    <dxf>
      <font>
        <b/>
        <i val="0"/>
        <condense val="0"/>
        <extend val="0"/>
        <color auto="1"/>
      </font>
      <fill>
        <patternFill>
          <bgColor rgb="FFFFFFCC"/>
        </patternFill>
      </fill>
    </dxf>
    <dxf>
      <font>
        <b/>
        <i val="0"/>
        <color theme="0"/>
      </font>
      <fill>
        <patternFill>
          <bgColor rgb="FF00B0F0"/>
        </patternFill>
      </fill>
    </dxf>
    <dxf>
      <font>
        <b/>
        <i val="0"/>
        <condense val="0"/>
        <extend val="0"/>
        <color indexed="10"/>
      </font>
    </dxf>
    <dxf>
      <fill>
        <patternFill>
          <bgColor rgb="FF66FF66"/>
        </patternFill>
      </fill>
    </dxf>
    <dxf>
      <fill>
        <patternFill>
          <bgColor rgb="FFFF0000"/>
        </patternFill>
      </fill>
    </dxf>
    <dxf>
      <fill>
        <patternFill>
          <bgColor rgb="FFFFFF00"/>
        </patternFill>
      </fill>
    </dxf>
  </dxfs>
  <tableStyles count="0" defaultTableStyle="TableStyleMedium2" defaultPivotStyle="PivotStyleLight16"/>
  <colors>
    <mruColors>
      <color rgb="FF66FF66"/>
      <color rgb="FF00FFFF"/>
      <color rgb="FF0000FF"/>
      <color rgb="FFCC3300"/>
      <color rgb="FF7DFFB8"/>
      <color rgb="FFFF7C80"/>
      <color rgb="FFABFFD1"/>
      <color rgb="FFCCFFFF"/>
      <color rgb="FF99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5" Type="http://schemas.microsoft.com/office/2006/relationships/vbaProject" Target="vbaProject.bin"/><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50-EC42-11CE-9E0D-00AA006002F3}" r:id="rId1"/>
</file>

<file path=xl/activeX/activeX3.xml><?xml version="1.0" encoding="utf-8"?>
<ax:ocx xmlns:ax="http://schemas.microsoft.com/office/2006/activeX" xmlns:r="http://schemas.openxmlformats.org/officeDocument/2006/relationships" ax:classid="{8BD21D5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3</xdr:col>
      <xdr:colOff>387350</xdr:colOff>
      <xdr:row>3</xdr:row>
      <xdr:rowOff>38100</xdr:rowOff>
    </xdr:from>
    <xdr:to>
      <xdr:col>5</xdr:col>
      <xdr:colOff>241300</xdr:colOff>
      <xdr:row>4</xdr:row>
      <xdr:rowOff>107950</xdr:rowOff>
    </xdr:to>
    <xdr:sp macro="[0]!UpdateReviewers" textlink="">
      <xdr:nvSpPr>
        <xdr:cNvPr id="2" name="Rectangle: Rounded Corners 1">
          <a:extLst>
            <a:ext uri="{FF2B5EF4-FFF2-40B4-BE49-F238E27FC236}">
              <a16:creationId xmlns:a16="http://schemas.microsoft.com/office/drawing/2014/main" id="{00000000-0008-0000-0000-000002000000}"/>
            </a:ext>
          </a:extLst>
        </xdr:cNvPr>
        <xdr:cNvSpPr/>
      </xdr:nvSpPr>
      <xdr:spPr>
        <a:xfrm>
          <a:off x="4705350" y="806450"/>
          <a:ext cx="1073150" cy="260350"/>
        </a:xfrm>
        <a:prstGeom prst="roundRect">
          <a:avLst/>
        </a:prstGeom>
        <a:gradFill>
          <a:gsLst>
            <a:gs pos="0">
              <a:schemeClr val="accent5">
                <a:lumMod val="50000"/>
              </a:schemeClr>
            </a:gs>
            <a:gs pos="54000">
              <a:srgbClr val="C00000"/>
            </a:gs>
            <a:gs pos="100000">
              <a:schemeClr val="accent5">
                <a:lumMod val="50000"/>
              </a:schemeClr>
            </a:gs>
          </a:gsLst>
          <a:path path="circle">
            <a:fillToRect l="50000" t="130000" r="50000" b="-30000"/>
          </a:path>
        </a:gradFill>
        <a:ln>
          <a:solidFill>
            <a:schemeClr val="accent1">
              <a:shade val="50000"/>
            </a:schemeClr>
          </a:solidFill>
        </a:ln>
        <a:scene3d>
          <a:camera prst="orthographicFront"/>
          <a:lightRig rig="threePt" dir="t"/>
        </a:scene3d>
        <a:sp3d z="635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1"/>
            <a:t> Update Reviewers</a:t>
          </a:r>
        </a:p>
      </xdr:txBody>
    </xdr:sp>
    <xdr:clientData/>
  </xdr:twoCellAnchor>
  <xdr:twoCellAnchor>
    <xdr:from>
      <xdr:col>7</xdr:col>
      <xdr:colOff>406400</xdr:colOff>
      <xdr:row>500</xdr:row>
      <xdr:rowOff>158750</xdr:rowOff>
    </xdr:from>
    <xdr:to>
      <xdr:col>9</xdr:col>
      <xdr:colOff>260350</xdr:colOff>
      <xdr:row>502</xdr:row>
      <xdr:rowOff>38100</xdr:rowOff>
    </xdr:to>
    <xdr:sp macro="[1]!UpdateFSYReviewers" textlink="">
      <xdr:nvSpPr>
        <xdr:cNvPr id="3" name="Rectangle: Rounded Corners 2">
          <a:extLst>
            <a:ext uri="{FF2B5EF4-FFF2-40B4-BE49-F238E27FC236}">
              <a16:creationId xmlns:a16="http://schemas.microsoft.com/office/drawing/2014/main" id="{00000000-0008-0000-0000-000003000000}"/>
            </a:ext>
          </a:extLst>
        </xdr:cNvPr>
        <xdr:cNvSpPr/>
      </xdr:nvSpPr>
      <xdr:spPr>
        <a:xfrm>
          <a:off x="7023100" y="92221050"/>
          <a:ext cx="4051300" cy="247650"/>
        </a:xfrm>
        <a:prstGeom prst="roundRect">
          <a:avLst/>
        </a:prstGeom>
        <a:gradFill flip="none" rotWithShape="1">
          <a:gsLst>
            <a:gs pos="0">
              <a:schemeClr val="accent1">
                <a:lumMod val="50000"/>
              </a:schemeClr>
            </a:gs>
            <a:gs pos="50000">
              <a:schemeClr val="accent1">
                <a:shade val="67500"/>
                <a:satMod val="115000"/>
              </a:schemeClr>
            </a:gs>
            <a:gs pos="100000">
              <a:schemeClr val="accent1">
                <a:shade val="100000"/>
                <a:satMod val="115000"/>
              </a:schemeClr>
            </a:gs>
          </a:gsLst>
          <a:lin ang="27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t> Update Reviewers</a:t>
          </a:r>
        </a:p>
      </xdr:txBody>
    </xdr:sp>
    <xdr:clientData/>
  </xdr:twoCellAnchor>
  <xdr:twoCellAnchor editAs="absolute">
    <xdr:from>
      <xdr:col>3</xdr:col>
      <xdr:colOff>393700</xdr:colOff>
      <xdr:row>1</xdr:row>
      <xdr:rowOff>82550</xdr:rowOff>
    </xdr:from>
    <xdr:to>
      <xdr:col>5</xdr:col>
      <xdr:colOff>247650</xdr:colOff>
      <xdr:row>2</xdr:row>
      <xdr:rowOff>152400</xdr:rowOff>
    </xdr:to>
    <xdr:sp macro="[0]!Reset" textlink="">
      <xdr:nvSpPr>
        <xdr:cNvPr id="7" name="Rectangle: Rounded Corners 6">
          <a:extLst>
            <a:ext uri="{FF2B5EF4-FFF2-40B4-BE49-F238E27FC236}">
              <a16:creationId xmlns:a16="http://schemas.microsoft.com/office/drawing/2014/main" id="{00000000-0008-0000-0000-000007000000}"/>
            </a:ext>
          </a:extLst>
        </xdr:cNvPr>
        <xdr:cNvSpPr/>
      </xdr:nvSpPr>
      <xdr:spPr>
        <a:xfrm>
          <a:off x="4711700" y="469900"/>
          <a:ext cx="1073150" cy="260350"/>
        </a:xfrm>
        <a:prstGeom prst="roundRect">
          <a:avLst/>
        </a:prstGeom>
        <a:gradFill>
          <a:gsLst>
            <a:gs pos="0">
              <a:schemeClr val="accent5">
                <a:lumMod val="50000"/>
              </a:schemeClr>
            </a:gs>
            <a:gs pos="46000">
              <a:srgbClr val="C00000"/>
            </a:gs>
            <a:gs pos="100000">
              <a:schemeClr val="accent5">
                <a:lumMod val="50000"/>
              </a:schemeClr>
            </a:gs>
          </a:gsLst>
          <a:path path="circle">
            <a:fillToRect l="50000" t="130000" r="50000" b="-30000"/>
          </a:path>
        </a:gradFill>
        <a:ln>
          <a:solidFill>
            <a:schemeClr val="accent1">
              <a:shade val="50000"/>
            </a:schemeClr>
          </a:solidFill>
        </a:ln>
        <a:scene3d>
          <a:camera prst="orthographicFront"/>
          <a:lightRig rig="threePt" dir="t"/>
        </a:scene3d>
        <a:sp3d z="635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1"/>
            <a:t> Reset</a:t>
          </a:r>
        </a:p>
      </xdr:txBody>
    </xdr:sp>
    <xdr:clientData/>
  </xdr:twoCellAnchor>
  <xdr:twoCellAnchor editAs="absolute">
    <xdr:from>
      <xdr:col>3</xdr:col>
      <xdr:colOff>393700</xdr:colOff>
      <xdr:row>4</xdr:row>
      <xdr:rowOff>184150</xdr:rowOff>
    </xdr:from>
    <xdr:to>
      <xdr:col>5</xdr:col>
      <xdr:colOff>247650</xdr:colOff>
      <xdr:row>6</xdr:row>
      <xdr:rowOff>63500</xdr:rowOff>
    </xdr:to>
    <xdr:sp macro="[0]!DraftEmail"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4711700" y="1143000"/>
          <a:ext cx="1073150" cy="260350"/>
        </a:xfrm>
        <a:prstGeom prst="roundRect">
          <a:avLst/>
        </a:prstGeom>
        <a:gradFill>
          <a:gsLst>
            <a:gs pos="0">
              <a:schemeClr val="accent5">
                <a:lumMod val="50000"/>
              </a:schemeClr>
            </a:gs>
            <a:gs pos="53000">
              <a:srgbClr val="C00000"/>
            </a:gs>
            <a:gs pos="100000">
              <a:schemeClr val="accent5">
                <a:lumMod val="50000"/>
              </a:schemeClr>
            </a:gs>
          </a:gsLst>
          <a:path path="circle">
            <a:fillToRect l="50000" t="130000" r="50000" b="-30000"/>
          </a:path>
        </a:gradFill>
        <a:ln>
          <a:solidFill>
            <a:schemeClr val="accent1">
              <a:shade val="50000"/>
            </a:schemeClr>
          </a:solidFill>
        </a:ln>
        <a:scene3d>
          <a:camera prst="orthographicFront"/>
          <a:lightRig rig="threePt" dir="t"/>
        </a:scene3d>
        <a:sp3d z="635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1"/>
            <a:t>Draft email</a:t>
          </a:r>
        </a:p>
      </xdr:txBody>
    </xdr:sp>
    <xdr:clientData/>
  </xdr:twoCellAnchor>
  <xdr:twoCellAnchor editAs="absolute">
    <xdr:from>
      <xdr:col>3</xdr:col>
      <xdr:colOff>400050</xdr:colOff>
      <xdr:row>6</xdr:row>
      <xdr:rowOff>120650</xdr:rowOff>
    </xdr:from>
    <xdr:to>
      <xdr:col>5</xdr:col>
      <xdr:colOff>254000</xdr:colOff>
      <xdr:row>8</xdr:row>
      <xdr:rowOff>0</xdr:rowOff>
    </xdr:to>
    <xdr:sp macro="[0]!CheckReviewStatus"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4718050" y="1460500"/>
          <a:ext cx="1073150" cy="260350"/>
        </a:xfrm>
        <a:prstGeom prst="roundRect">
          <a:avLst/>
        </a:prstGeom>
        <a:gradFill>
          <a:gsLst>
            <a:gs pos="0">
              <a:schemeClr val="accent5">
                <a:lumMod val="50000"/>
              </a:schemeClr>
            </a:gs>
            <a:gs pos="51000">
              <a:srgbClr val="C00000"/>
            </a:gs>
            <a:gs pos="100000">
              <a:schemeClr val="accent5">
                <a:lumMod val="50000"/>
              </a:schemeClr>
            </a:gs>
          </a:gsLst>
          <a:path path="circle">
            <a:fillToRect l="50000" t="130000" r="50000" b="-30000"/>
          </a:path>
        </a:gradFill>
        <a:ln>
          <a:solidFill>
            <a:schemeClr val="accent1">
              <a:shade val="50000"/>
            </a:schemeClr>
          </a:solidFill>
        </a:ln>
        <a:scene3d>
          <a:camera prst="orthographicFront"/>
          <a:lightRig rig="threePt" dir="t"/>
        </a:scene3d>
        <a:sp3d z="635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1"/>
            <a:t>Check review status</a:t>
          </a:r>
        </a:p>
      </xdr:txBody>
    </xdr:sp>
    <xdr:clientData/>
  </xdr:twoCellAnchor>
  <mc:AlternateContent xmlns:mc="http://schemas.openxmlformats.org/markup-compatibility/2006">
    <mc:Choice xmlns:a14="http://schemas.microsoft.com/office/drawing/2010/main" Requires="a14">
      <xdr:twoCellAnchor editAs="absolute">
        <xdr:from>
          <xdr:col>3</xdr:col>
          <xdr:colOff>120650</xdr:colOff>
          <xdr:row>14</xdr:row>
          <xdr:rowOff>127000</xdr:rowOff>
        </xdr:from>
        <xdr:to>
          <xdr:col>4</xdr:col>
          <xdr:colOff>234950</xdr:colOff>
          <xdr:row>15</xdr:row>
          <xdr:rowOff>114300</xdr:rowOff>
        </xdr:to>
        <xdr:sp macro="" textlink="">
          <xdr:nvSpPr>
            <xdr:cNvPr id="1091" name="CheckBox1"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431800</xdr:colOff>
          <xdr:row>14</xdr:row>
          <xdr:rowOff>120650</xdr:rowOff>
        </xdr:from>
        <xdr:to>
          <xdr:col>5</xdr:col>
          <xdr:colOff>546100</xdr:colOff>
          <xdr:row>15</xdr:row>
          <xdr:rowOff>107950</xdr:rowOff>
        </xdr:to>
        <xdr:sp macro="" textlink="">
          <xdr:nvSpPr>
            <xdr:cNvPr id="1092" name="CheckBox2"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120650</xdr:colOff>
          <xdr:row>15</xdr:row>
          <xdr:rowOff>158750</xdr:rowOff>
        </xdr:from>
        <xdr:to>
          <xdr:col>4</xdr:col>
          <xdr:colOff>228600</xdr:colOff>
          <xdr:row>16</xdr:row>
          <xdr:rowOff>146050</xdr:rowOff>
        </xdr:to>
        <xdr:sp macro="" textlink="">
          <xdr:nvSpPr>
            <xdr:cNvPr id="1093" name="CheckBox3"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431800</xdr:colOff>
          <xdr:row>15</xdr:row>
          <xdr:rowOff>158750</xdr:rowOff>
        </xdr:from>
        <xdr:to>
          <xdr:col>5</xdr:col>
          <xdr:colOff>546100</xdr:colOff>
          <xdr:row>16</xdr:row>
          <xdr:rowOff>146050</xdr:rowOff>
        </xdr:to>
        <xdr:sp macro="" textlink="">
          <xdr:nvSpPr>
            <xdr:cNvPr id="1094" name="CheckBox4"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127000</xdr:colOff>
          <xdr:row>17</xdr:row>
          <xdr:rowOff>6350</xdr:rowOff>
        </xdr:from>
        <xdr:to>
          <xdr:col>4</xdr:col>
          <xdr:colOff>234950</xdr:colOff>
          <xdr:row>17</xdr:row>
          <xdr:rowOff>190500</xdr:rowOff>
        </xdr:to>
        <xdr:sp macro="" textlink="">
          <xdr:nvSpPr>
            <xdr:cNvPr id="1095" name="CheckBox5"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425450</xdr:colOff>
          <xdr:row>17</xdr:row>
          <xdr:rowOff>0</xdr:rowOff>
        </xdr:from>
        <xdr:to>
          <xdr:col>5</xdr:col>
          <xdr:colOff>533400</xdr:colOff>
          <xdr:row>17</xdr:row>
          <xdr:rowOff>177800</xdr:rowOff>
        </xdr:to>
        <xdr:sp macro="" textlink="">
          <xdr:nvSpPr>
            <xdr:cNvPr id="1096" name="CheckBox6"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xdr:col>
      <xdr:colOff>2678286</xdr:colOff>
      <xdr:row>13</xdr:row>
      <xdr:rowOff>12022</xdr:rowOff>
    </xdr:from>
    <xdr:to>
      <xdr:col>6</xdr:col>
      <xdr:colOff>349250</xdr:colOff>
      <xdr:row>14</xdr:row>
      <xdr:rowOff>101727</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4081636" y="2685372"/>
          <a:ext cx="2452514" cy="280205"/>
        </a:xfrm>
        <a:prstGeom prst="rect">
          <a:avLst/>
        </a:prstGeom>
        <a:noFill/>
      </xdr:spPr>
      <xdr:txBody>
        <a:bodyPr wrap="square" lIns="91440" tIns="45720" rIns="91440" bIns="45720">
          <a:spAutoFit/>
        </a:bodyPr>
        <a:lstStyle/>
        <a:p>
          <a:pPr algn="ctr"/>
          <a:r>
            <a:rPr lang="en-US" sz="1200" b="1" cap="none" spc="0">
              <a:ln w="0"/>
              <a:solidFill>
                <a:sysClr val="windowText" lastClr="000000"/>
              </a:solidFill>
              <a:effectLst>
                <a:outerShdw blurRad="38100" dist="25400" dir="5400000" algn="ctr" rotWithShape="0">
                  <a:srgbClr val="6E747A">
                    <a:alpha val="43000"/>
                  </a:srgbClr>
                </a:outerShdw>
              </a:effectLst>
            </a:rPr>
            <a:t>Conditional</a:t>
          </a:r>
          <a:r>
            <a:rPr lang="en-US" sz="1200" b="1" cap="none" spc="0" baseline="0">
              <a:ln w="0"/>
              <a:solidFill>
                <a:sysClr val="windowText" lastClr="000000"/>
              </a:solidFill>
              <a:effectLst>
                <a:outerShdw blurRad="38100" dist="25400" dir="5400000" algn="ctr" rotWithShape="0">
                  <a:srgbClr val="6E747A">
                    <a:alpha val="43000"/>
                  </a:srgbClr>
                </a:outerShdw>
              </a:effectLst>
            </a:rPr>
            <a:t> Reviewers selector</a:t>
          </a:r>
          <a:endParaRPr lang="en-US" sz="1200" b="1" cap="none" spc="0">
            <a:ln w="0"/>
            <a:solidFill>
              <a:sysClr val="windowText" lastClr="000000"/>
            </a:solidFill>
            <a:effectLst>
              <a:outerShdw blurRad="38100" dist="25400" dir="5400000" algn="ctr" rotWithShape="0">
                <a:srgbClr val="6E747A">
                  <a:alpha val="43000"/>
                </a:srgbClr>
              </a:outerShdw>
            </a:effectLst>
          </a:endParaRPr>
        </a:p>
      </xdr:txBody>
    </xdr:sp>
    <xdr:clientData/>
  </xdr:twoCellAnchor>
  <xdr:twoCellAnchor editAs="absolute">
    <xdr:from>
      <xdr:col>2</xdr:col>
      <xdr:colOff>2343150</xdr:colOff>
      <xdr:row>0</xdr:row>
      <xdr:rowOff>0</xdr:rowOff>
    </xdr:from>
    <xdr:to>
      <xdr:col>6</xdr:col>
      <xdr:colOff>571500</xdr:colOff>
      <xdr:row>1</xdr:row>
      <xdr:rowOff>49373</xdr:rowOff>
    </xdr:to>
    <xdr:sp macro="" textlink="">
      <xdr:nvSpPr>
        <xdr:cNvPr id="8" name="Rectangle 7">
          <a:extLst>
            <a:ext uri="{FF2B5EF4-FFF2-40B4-BE49-F238E27FC236}">
              <a16:creationId xmlns:a16="http://schemas.microsoft.com/office/drawing/2014/main" id="{00000000-0008-0000-0000-000008000000}"/>
            </a:ext>
          </a:extLst>
        </xdr:cNvPr>
        <xdr:cNvSpPr/>
      </xdr:nvSpPr>
      <xdr:spPr>
        <a:xfrm>
          <a:off x="3746500" y="0"/>
          <a:ext cx="3009900" cy="436723"/>
        </a:xfrm>
        <a:prstGeom prst="rect">
          <a:avLst/>
        </a:prstGeom>
        <a:noFill/>
      </xdr:spPr>
      <xdr:txBody>
        <a:bodyPr wrap="square" lIns="91440" tIns="45720" rIns="91440" bIns="45720">
          <a:spAutoFit/>
        </a:bodyPr>
        <a:lstStyle/>
        <a:p>
          <a:pPr algn="ctr"/>
          <a:r>
            <a:rPr lang="en-US" sz="2200" b="1" cap="none" spc="0" baseline="0">
              <a:ln w="12700">
                <a:solidFill>
                  <a:schemeClr val="accent1"/>
                </a:solidFill>
                <a:prstDash val="solid"/>
              </a:ln>
              <a:solidFill>
                <a:srgbClr val="C00000"/>
              </a:solidFill>
              <a:effectLst>
                <a:outerShdw dist="38100" dir="2640000" algn="bl" rotWithShape="0">
                  <a:schemeClr val="accent1"/>
                </a:outerShdw>
              </a:effectLst>
            </a:rPr>
            <a:t>Review Tool</a:t>
          </a:r>
          <a:endParaRPr lang="en-US" sz="2200" b="1" cap="none" spc="0">
            <a:ln w="12700">
              <a:solidFill>
                <a:schemeClr val="accent1"/>
              </a:solidFill>
              <a:prstDash val="solid"/>
            </a:ln>
            <a:solidFill>
              <a:srgbClr val="C00000"/>
            </a:solidFill>
            <a:effectLst>
              <a:outerShdw dist="38100" dir="2640000" algn="bl" rotWithShape="0">
                <a:schemeClr val="accent1"/>
              </a:outerShdw>
            </a:effectLst>
          </a:endParaRPr>
        </a:p>
      </xdr:txBody>
    </xdr:sp>
    <xdr:clientData/>
  </xdr:twoCellAnchor>
  <mc:AlternateContent xmlns:mc="http://schemas.openxmlformats.org/markup-compatibility/2006">
    <mc:Choice xmlns:a14="http://schemas.microsoft.com/office/drawing/2010/main" Requires="a14">
      <xdr:twoCellAnchor>
        <xdr:from>
          <xdr:col>3</xdr:col>
          <xdr:colOff>210966</xdr:colOff>
          <xdr:row>10</xdr:row>
          <xdr:rowOff>144640</xdr:rowOff>
        </xdr:from>
        <xdr:to>
          <xdr:col>5</xdr:col>
          <xdr:colOff>438157</xdr:colOff>
          <xdr:row>12</xdr:row>
          <xdr:rowOff>79023</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4528966" y="2246490"/>
              <a:ext cx="1446391" cy="315383"/>
              <a:chOff x="4468036" y="2318457"/>
              <a:chExt cx="980826" cy="315383"/>
            </a:xfrm>
          </xdr:grpSpPr>
          <xdr:sp macro="" textlink="">
            <xdr:nvSpPr>
              <xdr:cNvPr id="1103" name="OptionButton1"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4468036" y="2318457"/>
                <a:ext cx="402166" cy="311150"/>
              </a:xfrm>
              <a:prstGeom prst="rect">
                <a:avLst/>
              </a:prstGeom>
              <a:noFill/>
              <a:ln>
                <a:noFill/>
              </a:ln>
              <a:extLst>
                <a:ext uri="{91240B29-F687-4F45-9708-019B960494DF}">
                  <a14:hiddenLine w="9525">
                    <a:noFill/>
                    <a:miter lim="800000"/>
                    <a:headEnd/>
                    <a:tailEnd/>
                  </a14:hiddenLine>
                </a:ext>
              </a:extLst>
            </xdr:spPr>
          </xdr:sp>
          <xdr:sp macro="" textlink="">
            <xdr:nvSpPr>
              <xdr:cNvPr id="1104" name="OptionButton2"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5051634" y="2322690"/>
                <a:ext cx="397228" cy="3111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18</xdr:row>
          <xdr:rowOff>57150</xdr:rowOff>
        </xdr:from>
        <xdr:to>
          <xdr:col>5</xdr:col>
          <xdr:colOff>127000</xdr:colOff>
          <xdr:row>19</xdr:row>
          <xdr:rowOff>44450</xdr:rowOff>
        </xdr:to>
        <xdr:sp macro="" textlink="">
          <xdr:nvSpPr>
            <xdr:cNvPr id="1107" name="CheckBox7"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69850</xdr:colOff>
      <xdr:row>8</xdr:row>
      <xdr:rowOff>38100</xdr:rowOff>
    </xdr:from>
    <xdr:to>
      <xdr:col>5</xdr:col>
      <xdr:colOff>571500</xdr:colOff>
      <xdr:row>10</xdr:row>
      <xdr:rowOff>120650</xdr:rowOff>
    </xdr:to>
    <xdr:sp macro="" textlink="">
      <xdr:nvSpPr>
        <xdr:cNvPr id="12" name="Rectangle 11">
          <a:extLst>
            <a:ext uri="{FF2B5EF4-FFF2-40B4-BE49-F238E27FC236}">
              <a16:creationId xmlns:a16="http://schemas.microsoft.com/office/drawing/2014/main" id="{00000000-0008-0000-0000-00000C000000}"/>
            </a:ext>
          </a:extLst>
        </xdr:cNvPr>
        <xdr:cNvSpPr/>
      </xdr:nvSpPr>
      <xdr:spPr>
        <a:xfrm>
          <a:off x="4387850" y="1758950"/>
          <a:ext cx="1720850" cy="463550"/>
        </a:xfrm>
        <a:prstGeom prst="rect">
          <a:avLst/>
        </a:prstGeom>
        <a:noFill/>
      </xdr:spPr>
      <xdr:txBody>
        <a:bodyPr wrap="square" lIns="91440" tIns="45720" rIns="91440" bIns="45720">
          <a:noAutofit/>
        </a:bodyPr>
        <a:lstStyle/>
        <a:p>
          <a:pPr algn="ctr"/>
          <a:r>
            <a:rPr lang="en-US" sz="1400" b="1" u="none" cap="none" spc="0">
              <a:ln w="0"/>
              <a:solidFill>
                <a:srgbClr val="FF0000"/>
              </a:solidFill>
              <a:effectLst>
                <a:outerShdw blurRad="38100" dist="25400" dir="5400000" algn="ctr" rotWithShape="0">
                  <a:srgbClr val="6E747A">
                    <a:alpha val="43000"/>
                  </a:srgbClr>
                </a:outerShdw>
              </a:effectLst>
            </a:rPr>
            <a:t>C</a:t>
          </a:r>
          <a:r>
            <a:rPr lang="en-US" sz="1400" b="1" u="none" cap="none" spc="0" baseline="0">
              <a:ln w="0"/>
              <a:solidFill>
                <a:srgbClr val="FF0000"/>
              </a:solidFill>
              <a:effectLst>
                <a:outerShdw blurRad="38100" dist="25400" dir="5400000" algn="ctr" rotWithShape="0">
                  <a:srgbClr val="6E747A">
                    <a:alpha val="43000"/>
                  </a:srgbClr>
                </a:outerShdw>
              </a:effectLst>
            </a:rPr>
            <a:t>onditional reviews </a:t>
          </a:r>
        </a:p>
        <a:p>
          <a:pPr algn="ctr"/>
          <a:r>
            <a:rPr lang="en-US" sz="1400" b="1" u="none" cap="none" spc="0" baseline="0">
              <a:ln w="0"/>
              <a:solidFill>
                <a:srgbClr val="FF0000"/>
              </a:solidFill>
              <a:effectLst>
                <a:outerShdw blurRad="38100" dist="25400" dir="5400000" algn="ctr" rotWithShape="0">
                  <a:srgbClr val="6E747A">
                    <a:alpha val="43000"/>
                  </a:srgbClr>
                </a:outerShdw>
              </a:effectLst>
            </a:rPr>
            <a:t>to add?</a:t>
          </a:r>
          <a:endParaRPr lang="en-US" sz="1400" b="1" u="none" cap="none" spc="0">
            <a:ln w="0"/>
            <a:solidFill>
              <a:srgbClr val="FF0000"/>
            </a:solidFill>
            <a:effectLst>
              <a:outerShdw blurRad="38100" dist="25400" dir="5400000" algn="ctr" rotWithShape="0">
                <a:srgbClr val="6E747A">
                  <a:alpha val="43000"/>
                </a:srgb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107950</xdr:colOff>
      <xdr:row>13</xdr:row>
      <xdr:rowOff>50800</xdr:rowOff>
    </xdr:from>
    <xdr:ext cx="4140200" cy="78124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07950" y="2444750"/>
          <a:ext cx="4140200" cy="78124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100" b="1"/>
            <a:t>xyz@nokia.com is used as dummy</a:t>
          </a:r>
          <a:r>
            <a:rPr lang="en-IN" sz="1100" b="1" baseline="0"/>
            <a:t> ID. Also Solution Area (SA) and requirement area (RA) names have been replaced as well. There will be actual SA and RA names and associated email ID which shall be read from a SharePoint page</a:t>
          </a:r>
          <a:endParaRPr lang="en-IN" sz="1100" b="1"/>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okia-my.sharepoint.com/personal/aditya_ojha_nokia_com/Documents/MN%20RAN%20FSY%20Review%20To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ewers (2)"/>
      <sheetName val="Reviewers"/>
      <sheetName val="Data"/>
      <sheetName val="MN RAN FSY Review Tool"/>
      <sheetName val="Change history"/>
      <sheetName val="Review Findings"/>
      <sheetName val="Format"/>
    </sheetNames>
    <definedNames>
      <definedName name="UpdateFSYReviewers"/>
    </definedNames>
    <sheetDataSet>
      <sheetData sheetId="0" refreshError="1"/>
      <sheetData sheetId="1" refreshError="1"/>
      <sheetData sheetId="2">
        <row r="1">
          <cell r="A1" t="str">
            <v>AI/ML</v>
          </cell>
          <cell r="B1" t="str">
            <v>Cloud</v>
          </cell>
          <cell r="C1" t="str">
            <v>Operability</v>
          </cell>
          <cell r="D1" t="str">
            <v>RRM</v>
          </cell>
          <cell r="E1" t="str">
            <v>Security</v>
          </cell>
          <cell r="F1" t="str">
            <v>Site_Solution</v>
          </cell>
          <cell r="G1" t="str">
            <v>Small_Cells</v>
          </cell>
          <cell r="H1" t="str">
            <v>Transport</v>
          </cell>
        </row>
      </sheetData>
      <sheetData sheetId="3" refreshError="1"/>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3" Type="http://schemas.openxmlformats.org/officeDocument/2006/relationships/drawing" Target="../drawings/drawing1.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 Type="http://schemas.openxmlformats.org/officeDocument/2006/relationships/printerSettings" Target="../printerSettings/printerSettings1.bin"/><Relationship Id="rId16" Type="http://schemas.openxmlformats.org/officeDocument/2006/relationships/image" Target="../media/image6.emf"/><Relationship Id="rId20" Type="http://schemas.openxmlformats.org/officeDocument/2006/relationships/image" Target="../media/image8.emf"/><Relationship Id="rId1" Type="http://schemas.openxmlformats.org/officeDocument/2006/relationships/hyperlink" Target="mailto:xyz@nokia.com"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19" Type="http://schemas.openxmlformats.org/officeDocument/2006/relationships/control" Target="../activeX/activeX8.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mailto:xyz@nokia.com"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hyperlink" Target="mailto:maciej.krysmalski@nokia.com" TargetMode="External"/><Relationship Id="rId13" Type="http://schemas.openxmlformats.org/officeDocument/2006/relationships/hyperlink" Target="mailto:xueli.zhang@nokia-sbell.com;" TargetMode="External"/><Relationship Id="rId18" Type="http://schemas.openxmlformats.org/officeDocument/2006/relationships/hyperlink" Target="mailto:fabrice.scarazzini@nokia.com" TargetMode="External"/><Relationship Id="rId26" Type="http://schemas.openxmlformats.org/officeDocument/2006/relationships/hyperlink" Target="mailto:akash.2.dutta@nokia.com" TargetMode="External"/><Relationship Id="rId39" Type="http://schemas.openxmlformats.org/officeDocument/2006/relationships/hyperlink" Target="mailto:sanjaya.joshi@nokia.com" TargetMode="External"/><Relationship Id="rId3" Type="http://schemas.openxmlformats.org/officeDocument/2006/relationships/hyperlink" Target="mailto:natalia.lewkow-pankiewicz@nokia.com" TargetMode="External"/><Relationship Id="rId21" Type="http://schemas.openxmlformats.org/officeDocument/2006/relationships/hyperlink" Target="mailto:sanjaya.joshi@nokia.com" TargetMode="External"/><Relationship Id="rId34" Type="http://schemas.openxmlformats.org/officeDocument/2006/relationships/hyperlink" Target="mailto:xueli.zhang@nokia-sbell.com;" TargetMode="External"/><Relationship Id="rId42" Type="http://schemas.openxmlformats.org/officeDocument/2006/relationships/hyperlink" Target="mailto:xyz@nokia.com" TargetMode="External"/><Relationship Id="rId7" Type="http://schemas.openxmlformats.org/officeDocument/2006/relationships/hyperlink" Target="mailto:armin.splett@nokia.com" TargetMode="External"/><Relationship Id="rId12" Type="http://schemas.openxmlformats.org/officeDocument/2006/relationships/hyperlink" Target="mailto:matthias.litzka@nokia.com;" TargetMode="External"/><Relationship Id="rId17" Type="http://schemas.openxmlformats.org/officeDocument/2006/relationships/hyperlink" Target="mailto:asko.vaaraniemi@nokia.com" TargetMode="External"/><Relationship Id="rId25" Type="http://schemas.openxmlformats.org/officeDocument/2006/relationships/hyperlink" Target="mailto:natalia.lewkow-pankiewicz@nokia.com" TargetMode="External"/><Relationship Id="rId33" Type="http://schemas.openxmlformats.org/officeDocument/2006/relationships/hyperlink" Target="mailto:xueli.zhang@nokia-sbell.com;" TargetMode="External"/><Relationship Id="rId38" Type="http://schemas.openxmlformats.org/officeDocument/2006/relationships/hyperlink" Target="mailto:xueli.zhang@nokia-sbell.com;" TargetMode="External"/><Relationship Id="rId2" Type="http://schemas.openxmlformats.org/officeDocument/2006/relationships/hyperlink" Target="mailto:akash.2.dutta@nokia.com" TargetMode="External"/><Relationship Id="rId16" Type="http://schemas.openxmlformats.org/officeDocument/2006/relationships/hyperlink" Target="mailto:xueli.zhang@nokia-sbell.com;" TargetMode="External"/><Relationship Id="rId20" Type="http://schemas.openxmlformats.org/officeDocument/2006/relationships/hyperlink" Target="mailto:lalit.mamtani@nokia.com;%20Zhu,%20Xiaoqiang%20(NSB%20-%20CN/Nanjing)" TargetMode="External"/><Relationship Id="rId29" Type="http://schemas.openxmlformats.org/officeDocument/2006/relationships/hyperlink" Target="mailto:xyz@nokia.com" TargetMode="External"/><Relationship Id="rId41" Type="http://schemas.openxmlformats.org/officeDocument/2006/relationships/hyperlink" Target="mailto:xyz@nokia.com" TargetMode="External"/><Relationship Id="rId1" Type="http://schemas.openxmlformats.org/officeDocument/2006/relationships/hyperlink" Target="mailto:xyz@nokia.com" TargetMode="External"/><Relationship Id="rId6" Type="http://schemas.openxmlformats.org/officeDocument/2006/relationships/hyperlink" Target="mailto:sridhar.jayaraman@nokia.com" TargetMode="External"/><Relationship Id="rId11" Type="http://schemas.openxmlformats.org/officeDocument/2006/relationships/hyperlink" Target="mailto:jouni.rytkonen@nokia.com;" TargetMode="External"/><Relationship Id="rId24" Type="http://schemas.openxmlformats.org/officeDocument/2006/relationships/hyperlink" Target="mailto:sanjaya.joshi@nokia.com" TargetMode="External"/><Relationship Id="rId32" Type="http://schemas.openxmlformats.org/officeDocument/2006/relationships/hyperlink" Target="mailto:sanjaya.joshi@nokia.com" TargetMode="External"/><Relationship Id="rId37" Type="http://schemas.openxmlformats.org/officeDocument/2006/relationships/hyperlink" Target="mailto:xueli.zhang@nokia-sbell.com;" TargetMode="External"/><Relationship Id="rId40" Type="http://schemas.openxmlformats.org/officeDocument/2006/relationships/hyperlink" Target="mailto:xyz@nokia.com" TargetMode="External"/><Relationship Id="rId5" Type="http://schemas.openxmlformats.org/officeDocument/2006/relationships/hyperlink" Target="mailto:krzysztof.tatarczyk@nokia.com" TargetMode="External"/><Relationship Id="rId15" Type="http://schemas.openxmlformats.org/officeDocument/2006/relationships/hyperlink" Target="mailto:minna.komulainen@nokia.com;" TargetMode="External"/><Relationship Id="rId23" Type="http://schemas.openxmlformats.org/officeDocument/2006/relationships/hyperlink" Target="mailto:xiaoqiang.zhu@nokia-sbell.com" TargetMode="External"/><Relationship Id="rId28" Type="http://schemas.openxmlformats.org/officeDocument/2006/relationships/hyperlink" Target="mailto:xyz@nokia.com" TargetMode="External"/><Relationship Id="rId36" Type="http://schemas.openxmlformats.org/officeDocument/2006/relationships/hyperlink" Target="mailto:xueli.zhang@nokia-sbell.com;" TargetMode="External"/><Relationship Id="rId10" Type="http://schemas.openxmlformats.org/officeDocument/2006/relationships/hyperlink" Target="mailto:carolin.huppert@nokia.com;" TargetMode="External"/><Relationship Id="rId19" Type="http://schemas.openxmlformats.org/officeDocument/2006/relationships/hyperlink" Target="mailto:mostafa.mohamed@nokia.com" TargetMode="External"/><Relationship Id="rId31" Type="http://schemas.openxmlformats.org/officeDocument/2006/relationships/hyperlink" Target="mailto:xyz@nokia.com" TargetMode="External"/><Relationship Id="rId44" Type="http://schemas.openxmlformats.org/officeDocument/2006/relationships/drawing" Target="../drawings/drawing2.xml"/><Relationship Id="rId4" Type="http://schemas.openxmlformats.org/officeDocument/2006/relationships/hyperlink" Target="mailto:john.torregoza@nokia.com;" TargetMode="External"/><Relationship Id="rId9" Type="http://schemas.openxmlformats.org/officeDocument/2006/relationships/hyperlink" Target="mailto:raghuram.krishnamurthy@nokia.com" TargetMode="External"/><Relationship Id="rId14" Type="http://schemas.openxmlformats.org/officeDocument/2006/relationships/hyperlink" Target="mailto:minna.komulainen@nokia.com;" TargetMode="External"/><Relationship Id="rId22" Type="http://schemas.openxmlformats.org/officeDocument/2006/relationships/hyperlink" Target="mailto:xiaoqiang.zhu@nokia-sbell.com" TargetMode="External"/><Relationship Id="rId27" Type="http://schemas.openxmlformats.org/officeDocument/2006/relationships/hyperlink" Target="mailto:xyz@nokia.com" TargetMode="External"/><Relationship Id="rId30" Type="http://schemas.openxmlformats.org/officeDocument/2006/relationships/hyperlink" Target="mailto:xyz@nokia.com" TargetMode="External"/><Relationship Id="rId35" Type="http://schemas.openxmlformats.org/officeDocument/2006/relationships/hyperlink" Target="mailto:xueli.zhang@nokia-sbell.com;" TargetMode="External"/><Relationship Id="rId43"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DED2E-8C22-4E73-B532-595E6CA76276}">
  <sheetPr codeName="Sheet9"/>
  <dimension ref="A1:V53"/>
  <sheetViews>
    <sheetView tabSelected="1" zoomScaleNormal="100" workbookViewId="0">
      <selection activeCell="H5" sqref="H5"/>
    </sheetView>
  </sheetViews>
  <sheetFormatPr defaultRowHeight="15" customHeight="1" x14ac:dyDescent="0.35"/>
  <cols>
    <col min="1" max="1" width="9" style="18" customWidth="1"/>
    <col min="2" max="2" width="11.08984375" style="18" customWidth="1"/>
    <col min="3" max="3" width="41.7265625" style="18" customWidth="1"/>
    <col min="4" max="5" width="8.7265625" style="18"/>
    <col min="6" max="6" width="9.26953125" style="18" customWidth="1"/>
    <col min="7" max="7" width="15.1796875" style="18" bestFit="1" customWidth="1"/>
    <col min="8" max="8" width="49.90625" style="18" customWidth="1"/>
    <col min="9" max="9" width="12.08984375" style="18" bestFit="1" customWidth="1"/>
    <col min="10" max="10" width="9.36328125" style="18" customWidth="1"/>
    <col min="11" max="16384" width="8.7265625" style="18"/>
  </cols>
  <sheetData>
    <row r="1" spans="1:22" ht="30.5" customHeight="1" thickBot="1" x14ac:dyDescent="0.5">
      <c r="A1" s="96"/>
      <c r="B1" s="102" t="s">
        <v>63</v>
      </c>
      <c r="C1" s="102"/>
      <c r="D1" s="95"/>
      <c r="E1" s="95"/>
      <c r="F1" s="95"/>
      <c r="G1" s="44"/>
      <c r="H1" s="43" t="s">
        <v>60</v>
      </c>
      <c r="I1" s="89" t="s">
        <v>64</v>
      </c>
      <c r="J1" s="90"/>
      <c r="K1" s="90"/>
      <c r="L1" s="34"/>
      <c r="M1" s="34"/>
      <c r="N1" s="34"/>
      <c r="O1" s="34"/>
      <c r="P1" s="34"/>
      <c r="Q1" s="34"/>
      <c r="R1" s="34"/>
      <c r="S1" s="34"/>
      <c r="T1" s="34"/>
      <c r="U1" s="34"/>
      <c r="V1" s="34"/>
    </row>
    <row r="2" spans="1:22" ht="15" customHeight="1" thickBot="1" x14ac:dyDescent="0.4">
      <c r="A2" s="97"/>
      <c r="B2" s="16" t="s">
        <v>48</v>
      </c>
      <c r="C2" s="81" t="s">
        <v>167</v>
      </c>
      <c r="D2" s="95"/>
      <c r="E2" s="95"/>
      <c r="F2" s="95"/>
      <c r="G2" s="16" t="s">
        <v>54</v>
      </c>
      <c r="H2" s="12" t="s">
        <v>69</v>
      </c>
      <c r="I2" s="16" t="s">
        <v>171</v>
      </c>
      <c r="J2" s="90"/>
      <c r="K2" s="90"/>
      <c r="L2" s="34"/>
      <c r="M2" s="34"/>
      <c r="N2" s="34"/>
      <c r="O2" s="34"/>
      <c r="P2" s="34"/>
      <c r="Q2" s="34"/>
      <c r="R2" s="34"/>
      <c r="S2" s="34"/>
      <c r="T2" s="34"/>
      <c r="U2" s="34"/>
      <c r="V2" s="34"/>
    </row>
    <row r="3" spans="1:22" ht="15" customHeight="1" thickBot="1" x14ac:dyDescent="0.4">
      <c r="A3" s="97"/>
      <c r="B3" s="15" t="s">
        <v>44</v>
      </c>
      <c r="C3" s="12" t="s">
        <v>168</v>
      </c>
      <c r="D3" s="95"/>
      <c r="E3" s="95"/>
      <c r="F3" s="95"/>
      <c r="G3" s="15" t="s">
        <v>55</v>
      </c>
      <c r="H3" s="12" t="s">
        <v>69</v>
      </c>
      <c r="I3" s="16" t="s">
        <v>171</v>
      </c>
      <c r="J3" s="90"/>
      <c r="K3" s="90"/>
      <c r="L3" s="34"/>
      <c r="M3" s="34"/>
      <c r="N3" s="34"/>
      <c r="O3" s="34"/>
      <c r="P3" s="34"/>
      <c r="Q3" s="34"/>
      <c r="R3" s="34"/>
      <c r="S3" s="34"/>
      <c r="T3" s="34"/>
      <c r="U3" s="34"/>
      <c r="V3" s="34"/>
    </row>
    <row r="4" spans="1:22" ht="15" customHeight="1" thickBot="1" x14ac:dyDescent="0.4">
      <c r="A4" s="97"/>
      <c r="B4" s="15" t="s">
        <v>0</v>
      </c>
      <c r="C4" s="82" t="s">
        <v>69</v>
      </c>
      <c r="D4" s="95"/>
      <c r="E4" s="95"/>
      <c r="F4" s="95"/>
      <c r="G4" s="15" t="s">
        <v>56</v>
      </c>
      <c r="H4" s="12" t="s">
        <v>69</v>
      </c>
      <c r="I4" s="16" t="s">
        <v>171</v>
      </c>
      <c r="J4" s="90"/>
      <c r="K4" s="90"/>
      <c r="L4" s="35" t="str">
        <f>C5&amp;"_RA"</f>
        <v>Operability_RA</v>
      </c>
      <c r="M4" s="35"/>
      <c r="N4" s="35"/>
      <c r="O4" s="35"/>
      <c r="P4" s="35"/>
      <c r="Q4" s="35"/>
      <c r="R4" s="35"/>
      <c r="S4" s="35"/>
      <c r="T4" s="35"/>
      <c r="U4" s="35"/>
      <c r="V4" s="35"/>
    </row>
    <row r="5" spans="1:22" ht="15" customHeight="1" thickBot="1" x14ac:dyDescent="0.4">
      <c r="A5" s="97"/>
      <c r="B5" s="15" t="s">
        <v>52</v>
      </c>
      <c r="C5" s="12" t="s">
        <v>28</v>
      </c>
      <c r="D5" s="95"/>
      <c r="E5" s="95"/>
      <c r="F5" s="95"/>
      <c r="G5" s="15" t="s">
        <v>57</v>
      </c>
      <c r="H5" s="12" t="s">
        <v>69</v>
      </c>
      <c r="I5" s="16" t="s">
        <v>171</v>
      </c>
      <c r="J5" s="90"/>
      <c r="K5" s="90"/>
      <c r="L5" s="35"/>
      <c r="M5" s="35"/>
      <c r="N5" s="35"/>
      <c r="O5" s="35"/>
      <c r="P5" s="35"/>
      <c r="Q5" s="35"/>
      <c r="R5" s="35"/>
      <c r="S5" s="35"/>
      <c r="T5" s="35"/>
      <c r="U5" s="35"/>
      <c r="V5" s="35"/>
    </row>
    <row r="6" spans="1:22" ht="15" customHeight="1" thickBot="1" x14ac:dyDescent="0.4">
      <c r="A6" s="97"/>
      <c r="B6" s="15" t="s">
        <v>53</v>
      </c>
      <c r="C6" s="12" t="s">
        <v>104</v>
      </c>
      <c r="D6" s="95"/>
      <c r="E6" s="95"/>
      <c r="F6" s="95"/>
      <c r="G6" s="15" t="s">
        <v>2</v>
      </c>
      <c r="H6" s="12" t="s">
        <v>69</v>
      </c>
      <c r="I6" s="16" t="s">
        <v>171</v>
      </c>
      <c r="J6" s="90"/>
      <c r="K6" s="90"/>
      <c r="L6" s="35"/>
      <c r="M6" s="35"/>
      <c r="N6" s="35"/>
      <c r="O6" s="35"/>
      <c r="P6" s="35"/>
      <c r="Q6" s="35"/>
      <c r="R6" s="35"/>
      <c r="S6" s="35"/>
      <c r="T6" s="35"/>
      <c r="U6" s="35"/>
      <c r="V6" s="35"/>
    </row>
    <row r="7" spans="1:22" ht="15" customHeight="1" thickBot="1" x14ac:dyDescent="0.4">
      <c r="A7" s="97"/>
      <c r="B7" s="15" t="s">
        <v>45</v>
      </c>
      <c r="C7" s="12" t="s">
        <v>121</v>
      </c>
      <c r="D7" s="95"/>
      <c r="E7" s="95"/>
      <c r="F7" s="95"/>
      <c r="G7" s="15" t="s">
        <v>3</v>
      </c>
      <c r="H7" s="12" t="s">
        <v>69</v>
      </c>
      <c r="I7" s="16" t="s">
        <v>171</v>
      </c>
      <c r="J7" s="90"/>
      <c r="K7" s="90"/>
      <c r="L7" s="35"/>
      <c r="M7" s="35"/>
      <c r="N7" s="35"/>
      <c r="O7" s="35"/>
      <c r="P7" s="35"/>
      <c r="Q7" s="35"/>
      <c r="R7" s="35"/>
      <c r="S7" s="35"/>
      <c r="T7" s="35"/>
      <c r="U7" s="35"/>
      <c r="V7" s="35"/>
    </row>
    <row r="8" spans="1:22" ht="15" customHeight="1" thickBot="1" x14ac:dyDescent="0.4">
      <c r="A8" s="97"/>
      <c r="B8" s="15" t="s">
        <v>46</v>
      </c>
      <c r="C8" s="12" t="s">
        <v>169</v>
      </c>
      <c r="D8" s="95"/>
      <c r="E8" s="95"/>
      <c r="F8" s="95"/>
      <c r="G8" s="17" t="s">
        <v>58</v>
      </c>
      <c r="H8" s="12"/>
      <c r="I8" s="16"/>
      <c r="J8" s="90"/>
      <c r="K8" s="90"/>
      <c r="L8" s="35"/>
      <c r="M8" s="35"/>
      <c r="N8" s="35"/>
      <c r="O8" s="35"/>
      <c r="P8" s="35"/>
      <c r="Q8" s="35"/>
      <c r="R8" s="35"/>
      <c r="S8" s="35"/>
      <c r="T8" s="35"/>
      <c r="U8" s="35"/>
      <c r="V8" s="35"/>
    </row>
    <row r="9" spans="1:22" ht="15" customHeight="1" thickBot="1" x14ac:dyDescent="0.5">
      <c r="A9" s="97"/>
      <c r="B9" s="17" t="s">
        <v>47</v>
      </c>
      <c r="C9" s="14" t="s">
        <v>170</v>
      </c>
      <c r="D9" s="92"/>
      <c r="E9" s="92"/>
      <c r="F9" s="92"/>
      <c r="G9" s="46"/>
      <c r="H9" s="46"/>
      <c r="I9" s="100"/>
      <c r="J9" s="90"/>
      <c r="K9" s="90"/>
      <c r="L9" s="35"/>
      <c r="M9" s="35"/>
      <c r="N9" s="35"/>
      <c r="O9" s="35"/>
      <c r="P9" s="35"/>
      <c r="Q9" s="35"/>
      <c r="R9" s="35"/>
      <c r="S9" s="35"/>
      <c r="T9" s="35"/>
      <c r="U9" s="35"/>
      <c r="V9" s="35"/>
    </row>
    <row r="10" spans="1:22" ht="15" customHeight="1" thickBot="1" x14ac:dyDescent="0.5">
      <c r="A10" s="97"/>
      <c r="B10" s="98"/>
      <c r="C10" s="99"/>
      <c r="D10" s="92"/>
      <c r="E10" s="92"/>
      <c r="F10" s="92"/>
      <c r="G10" s="44"/>
      <c r="H10" s="45" t="s">
        <v>61</v>
      </c>
      <c r="I10" s="101"/>
      <c r="J10" s="90"/>
      <c r="K10" s="90"/>
      <c r="L10" s="35"/>
      <c r="M10" s="35"/>
      <c r="N10" s="35"/>
      <c r="O10" s="35"/>
      <c r="P10" s="35"/>
      <c r="Q10" s="35"/>
      <c r="R10" s="35"/>
      <c r="S10" s="35"/>
      <c r="T10" s="35"/>
      <c r="U10" s="35"/>
      <c r="V10" s="35"/>
    </row>
    <row r="11" spans="1:22" ht="15" customHeight="1" x14ac:dyDescent="0.35">
      <c r="A11" s="97"/>
      <c r="B11" s="16" t="s">
        <v>49</v>
      </c>
      <c r="C11" s="41">
        <v>45065</v>
      </c>
      <c r="D11" s="92"/>
      <c r="E11" s="92"/>
      <c r="F11" s="92"/>
      <c r="G11" s="16" t="s">
        <v>59</v>
      </c>
      <c r="H11" s="13" t="s">
        <v>69</v>
      </c>
      <c r="I11" s="101"/>
      <c r="J11" s="90"/>
      <c r="K11" s="90"/>
      <c r="L11" s="35"/>
      <c r="M11" s="35"/>
      <c r="N11" s="35"/>
      <c r="O11" s="35"/>
      <c r="P11" s="35"/>
      <c r="Q11" s="35"/>
      <c r="R11" s="35"/>
      <c r="S11" s="35"/>
      <c r="T11" s="35"/>
      <c r="U11" s="35"/>
      <c r="V11" s="35"/>
    </row>
    <row r="12" spans="1:22" ht="15" customHeight="1" thickBot="1" x14ac:dyDescent="0.4">
      <c r="A12" s="97"/>
      <c r="B12" s="17" t="s">
        <v>50</v>
      </c>
      <c r="C12" s="42">
        <v>45071</v>
      </c>
      <c r="D12" s="92"/>
      <c r="E12" s="92"/>
      <c r="F12" s="92"/>
      <c r="G12" s="15" t="s">
        <v>43</v>
      </c>
      <c r="H12" s="12" t="s">
        <v>69</v>
      </c>
      <c r="I12" s="101"/>
      <c r="J12" s="90"/>
      <c r="K12" s="90"/>
      <c r="L12" s="35"/>
      <c r="M12" s="35"/>
      <c r="N12" s="35"/>
      <c r="O12" s="35"/>
      <c r="P12" s="35"/>
      <c r="Q12" s="35"/>
      <c r="R12" s="35"/>
      <c r="S12" s="35"/>
      <c r="T12" s="35"/>
      <c r="U12" s="35"/>
      <c r="V12" s="35"/>
    </row>
    <row r="13" spans="1:22" ht="15" customHeight="1" thickBot="1" x14ac:dyDescent="0.4">
      <c r="A13" s="97"/>
      <c r="B13" s="98"/>
      <c r="C13" s="99"/>
      <c r="D13" s="92"/>
      <c r="E13" s="92"/>
      <c r="F13" s="92"/>
      <c r="G13" s="17" t="s">
        <v>4</v>
      </c>
      <c r="H13" s="14" t="s">
        <v>69</v>
      </c>
      <c r="I13" s="101"/>
      <c r="J13" s="90"/>
      <c r="K13" s="90"/>
      <c r="L13" s="35"/>
      <c r="M13" s="35"/>
      <c r="N13" s="35"/>
      <c r="O13" s="35"/>
      <c r="P13" s="35"/>
      <c r="Q13" s="35"/>
      <c r="R13" s="35"/>
      <c r="S13" s="35"/>
      <c r="T13" s="35"/>
      <c r="U13" s="35"/>
      <c r="V13" s="35"/>
    </row>
    <row r="14" spans="1:22" ht="15" customHeight="1" x14ac:dyDescent="0.45">
      <c r="A14" s="97"/>
      <c r="B14" s="16" t="s">
        <v>1</v>
      </c>
      <c r="C14" s="80" t="s">
        <v>69</v>
      </c>
      <c r="D14" s="91"/>
      <c r="E14" s="92"/>
      <c r="F14" s="92"/>
      <c r="G14" s="78"/>
      <c r="H14" s="46"/>
      <c r="I14" s="101"/>
      <c r="J14" s="90"/>
      <c r="K14" s="90"/>
      <c r="L14" s="35"/>
      <c r="M14" s="35"/>
      <c r="N14" s="35"/>
      <c r="O14" s="35"/>
      <c r="P14" s="35"/>
      <c r="Q14" s="35"/>
      <c r="R14" s="35"/>
      <c r="S14" s="35"/>
      <c r="T14" s="35"/>
      <c r="U14" s="35"/>
      <c r="V14" s="35"/>
    </row>
    <row r="15" spans="1:22" ht="15" customHeight="1" thickBot="1" x14ac:dyDescent="0.5">
      <c r="A15" s="97"/>
      <c r="B15" s="17" t="s">
        <v>51</v>
      </c>
      <c r="C15" s="14"/>
      <c r="D15" s="91"/>
      <c r="E15" s="92"/>
      <c r="F15" s="92"/>
      <c r="G15" s="79"/>
      <c r="H15" s="45" t="s">
        <v>62</v>
      </c>
      <c r="I15" s="101"/>
      <c r="J15" s="90"/>
      <c r="K15" s="90"/>
      <c r="L15" s="35"/>
      <c r="M15" s="35"/>
      <c r="N15" s="35"/>
      <c r="O15" s="35"/>
      <c r="P15" s="35"/>
      <c r="Q15" s="35"/>
      <c r="R15" s="35"/>
      <c r="S15" s="35"/>
      <c r="T15" s="35"/>
      <c r="U15" s="35"/>
      <c r="V15" s="35"/>
    </row>
    <row r="16" spans="1:22" ht="15" customHeight="1" thickBot="1" x14ac:dyDescent="0.4">
      <c r="A16" s="97"/>
      <c r="B16" s="103"/>
      <c r="C16" s="104"/>
      <c r="D16" s="92"/>
      <c r="E16" s="92"/>
      <c r="F16" s="93"/>
      <c r="G16" s="40" t="s">
        <v>77</v>
      </c>
      <c r="H16" s="12" t="s">
        <v>69</v>
      </c>
      <c r="I16" s="33" t="s">
        <v>171</v>
      </c>
      <c r="J16" s="90"/>
      <c r="K16" s="90"/>
      <c r="L16" s="35"/>
      <c r="M16" s="35"/>
      <c r="N16" s="35"/>
      <c r="O16" s="35"/>
      <c r="P16" s="35"/>
      <c r="Q16" s="35"/>
      <c r="R16" s="35"/>
      <c r="S16" s="35"/>
      <c r="T16" s="35"/>
      <c r="U16" s="35"/>
      <c r="V16" s="35"/>
    </row>
    <row r="17" spans="1:22" ht="15" customHeight="1" thickBot="1" x14ac:dyDescent="0.4">
      <c r="A17" s="97"/>
      <c r="B17" s="109" t="s">
        <v>64</v>
      </c>
      <c r="C17" s="105" t="s">
        <v>172</v>
      </c>
      <c r="D17" s="91"/>
      <c r="E17" s="92"/>
      <c r="F17" s="93"/>
      <c r="G17" s="39" t="s">
        <v>79</v>
      </c>
      <c r="H17" s="12" t="s">
        <v>69</v>
      </c>
      <c r="I17" s="33" t="s">
        <v>171</v>
      </c>
      <c r="J17" s="90"/>
      <c r="K17" s="90"/>
      <c r="L17" s="35"/>
      <c r="M17" s="35"/>
      <c r="N17" s="35"/>
      <c r="O17" s="35"/>
      <c r="P17" s="35"/>
      <c r="Q17" s="35"/>
      <c r="R17" s="35"/>
      <c r="S17" s="35"/>
      <c r="T17" s="35"/>
      <c r="U17" s="35"/>
      <c r="V17" s="35"/>
    </row>
    <row r="18" spans="1:22" ht="15" customHeight="1" thickBot="1" x14ac:dyDescent="0.4">
      <c r="A18" s="97"/>
      <c r="B18" s="110"/>
      <c r="C18" s="106"/>
      <c r="D18" s="91"/>
      <c r="E18" s="92"/>
      <c r="F18" s="93"/>
      <c r="G18" s="39" t="s">
        <v>80</v>
      </c>
      <c r="H18" s="12" t="s">
        <v>69</v>
      </c>
      <c r="I18" s="33" t="s">
        <v>171</v>
      </c>
      <c r="J18" s="90"/>
      <c r="K18" s="90"/>
      <c r="L18" s="35"/>
      <c r="M18" s="35"/>
      <c r="N18" s="35"/>
      <c r="O18" s="35"/>
      <c r="P18" s="35"/>
      <c r="Q18" s="35"/>
      <c r="R18" s="35"/>
      <c r="S18" s="35"/>
      <c r="T18" s="35"/>
      <c r="U18" s="35"/>
      <c r="V18" s="35"/>
    </row>
    <row r="19" spans="1:22" ht="15" customHeight="1" thickBot="1" x14ac:dyDescent="0.4">
      <c r="A19" s="97"/>
      <c r="B19" s="110"/>
      <c r="C19" s="107"/>
      <c r="D19" s="91"/>
      <c r="E19" s="92"/>
      <c r="F19" s="93"/>
      <c r="G19" s="39" t="s">
        <v>82</v>
      </c>
      <c r="H19" s="12" t="s">
        <v>69</v>
      </c>
      <c r="I19" s="33" t="s">
        <v>171</v>
      </c>
      <c r="J19" s="90"/>
      <c r="K19" s="90"/>
      <c r="L19" s="35"/>
      <c r="M19" s="35"/>
      <c r="N19" s="35"/>
      <c r="O19" s="35"/>
      <c r="P19" s="35"/>
      <c r="Q19" s="35"/>
      <c r="R19" s="35"/>
      <c r="S19" s="35"/>
      <c r="T19" s="35"/>
      <c r="U19" s="35"/>
      <c r="V19" s="35"/>
    </row>
    <row r="20" spans="1:22" ht="15" customHeight="1" thickBot="1" x14ac:dyDescent="0.4">
      <c r="A20" s="97"/>
      <c r="B20" s="110"/>
      <c r="C20" s="107"/>
      <c r="D20" s="91"/>
      <c r="E20" s="92"/>
      <c r="F20" s="93"/>
      <c r="G20" s="39" t="s">
        <v>83</v>
      </c>
      <c r="H20" s="12" t="s">
        <v>69</v>
      </c>
      <c r="I20" s="33" t="s">
        <v>171</v>
      </c>
      <c r="J20" s="90"/>
      <c r="K20" s="90"/>
      <c r="L20" s="35"/>
      <c r="M20" s="35"/>
      <c r="N20" s="35"/>
      <c r="O20" s="35"/>
      <c r="P20" s="35"/>
      <c r="Q20" s="35"/>
      <c r="R20" s="35"/>
      <c r="S20" s="35"/>
      <c r="T20" s="35"/>
      <c r="U20" s="35"/>
      <c r="V20" s="35"/>
    </row>
    <row r="21" spans="1:22" ht="15" customHeight="1" thickBot="1" x14ac:dyDescent="0.4">
      <c r="A21" s="97"/>
      <c r="B21" s="111"/>
      <c r="C21" s="108"/>
      <c r="D21" s="91"/>
      <c r="E21" s="92"/>
      <c r="F21" s="93"/>
      <c r="G21" s="39"/>
      <c r="H21" s="12"/>
      <c r="I21" s="33"/>
      <c r="J21" s="90"/>
      <c r="K21" s="90"/>
      <c r="L21" s="35"/>
      <c r="M21" s="35"/>
      <c r="N21" s="35"/>
      <c r="O21" s="35"/>
      <c r="P21" s="35"/>
      <c r="Q21" s="35"/>
      <c r="R21" s="35"/>
      <c r="S21" s="35"/>
      <c r="T21" s="35"/>
      <c r="U21" s="35"/>
      <c r="V21" s="35"/>
    </row>
    <row r="22" spans="1:22" ht="15" customHeight="1" thickBot="1" x14ac:dyDescent="0.4">
      <c r="A22" s="94"/>
      <c r="B22" s="94"/>
      <c r="C22" s="94"/>
      <c r="D22" s="95"/>
      <c r="E22" s="95"/>
      <c r="F22" s="95"/>
      <c r="G22" s="39"/>
      <c r="H22" s="14"/>
      <c r="I22" s="33"/>
      <c r="J22" s="90"/>
      <c r="K22" s="90"/>
      <c r="L22" s="35"/>
      <c r="M22" s="35"/>
      <c r="N22" s="35"/>
      <c r="O22" s="35"/>
      <c r="P22" s="35"/>
      <c r="Q22" s="35"/>
      <c r="R22" s="35"/>
      <c r="S22" s="35"/>
      <c r="T22" s="35"/>
      <c r="U22" s="35"/>
      <c r="V22" s="35"/>
    </row>
    <row r="23" spans="1:22" ht="15" customHeight="1" x14ac:dyDescent="0.35">
      <c r="A23" s="94"/>
      <c r="B23" s="94"/>
      <c r="C23" s="94"/>
      <c r="D23" s="95"/>
      <c r="E23" s="95"/>
      <c r="F23" s="95"/>
      <c r="G23" s="32"/>
      <c r="H23" s="94"/>
      <c r="I23" s="94"/>
      <c r="J23" s="90"/>
      <c r="K23" s="90"/>
      <c r="L23" s="35"/>
      <c r="M23" s="35"/>
      <c r="N23" s="35"/>
      <c r="O23" s="35"/>
      <c r="P23" s="35"/>
      <c r="Q23" s="35"/>
      <c r="R23" s="35"/>
      <c r="S23" s="35"/>
      <c r="T23" s="35"/>
      <c r="U23" s="35"/>
      <c r="V23" s="35"/>
    </row>
    <row r="24" spans="1:22" ht="15" customHeight="1" x14ac:dyDescent="0.35">
      <c r="A24" s="36"/>
      <c r="B24" s="36"/>
      <c r="C24" s="36"/>
      <c r="D24" s="37"/>
      <c r="E24" s="37"/>
      <c r="F24" s="37"/>
      <c r="G24" s="36"/>
      <c r="H24" s="36"/>
      <c r="I24" s="36"/>
      <c r="J24" s="37"/>
      <c r="K24" s="37"/>
      <c r="L24" s="35"/>
      <c r="M24" s="35"/>
      <c r="N24" s="35"/>
      <c r="O24" s="35"/>
      <c r="P24" s="35"/>
      <c r="Q24" s="35"/>
      <c r="R24" s="35"/>
      <c r="S24" s="35"/>
      <c r="T24" s="35"/>
      <c r="U24" s="35"/>
      <c r="V24" s="35"/>
    </row>
    <row r="25" spans="1:22" ht="15" customHeight="1" x14ac:dyDescent="0.35">
      <c r="A25" s="36"/>
      <c r="B25" s="36"/>
      <c r="C25" s="36"/>
      <c r="D25" s="37"/>
      <c r="E25" s="37"/>
      <c r="F25" s="37"/>
      <c r="G25" s="36"/>
      <c r="H25" s="36"/>
      <c r="I25" s="36"/>
      <c r="J25" s="37"/>
      <c r="K25" s="37"/>
      <c r="L25" s="35"/>
      <c r="M25" s="35"/>
      <c r="N25" s="35"/>
      <c r="O25" s="35"/>
      <c r="P25" s="35"/>
      <c r="Q25" s="35"/>
      <c r="R25" s="35"/>
      <c r="S25" s="35"/>
      <c r="T25" s="35"/>
      <c r="U25" s="35"/>
      <c r="V25" s="35"/>
    </row>
    <row r="26" spans="1:22" ht="15" customHeight="1" x14ac:dyDescent="0.35">
      <c r="A26" s="36"/>
      <c r="B26" s="36"/>
      <c r="C26" s="36"/>
      <c r="D26" s="37"/>
      <c r="E26" s="37"/>
      <c r="F26" s="37"/>
      <c r="G26" s="36"/>
      <c r="H26" s="36"/>
      <c r="I26" s="36"/>
      <c r="J26" s="37"/>
      <c r="K26" s="37"/>
      <c r="L26" s="35"/>
      <c r="M26" s="35"/>
      <c r="N26" s="35"/>
      <c r="O26" s="35"/>
      <c r="P26" s="35"/>
      <c r="Q26" s="35"/>
      <c r="R26" s="35"/>
      <c r="S26" s="35"/>
      <c r="T26" s="35"/>
      <c r="U26" s="35"/>
      <c r="V26" s="35"/>
    </row>
    <row r="27" spans="1:22" ht="15" customHeight="1" x14ac:dyDescent="0.35">
      <c r="A27" s="36"/>
      <c r="B27" s="36"/>
      <c r="C27" s="36"/>
      <c r="D27" s="37"/>
      <c r="E27" s="37"/>
      <c r="F27" s="37"/>
      <c r="G27" s="36"/>
      <c r="H27" s="36"/>
      <c r="I27" s="36"/>
      <c r="J27" s="37"/>
      <c r="K27" s="37"/>
      <c r="L27" s="35"/>
      <c r="M27" s="35"/>
      <c r="N27" s="35"/>
      <c r="O27" s="35"/>
      <c r="P27" s="35"/>
      <c r="Q27" s="35"/>
      <c r="R27" s="35"/>
      <c r="S27" s="35"/>
      <c r="T27" s="35"/>
      <c r="U27" s="35"/>
      <c r="V27" s="35"/>
    </row>
    <row r="28" spans="1:22" ht="15" customHeight="1" x14ac:dyDescent="0.35">
      <c r="A28" s="36"/>
      <c r="B28" s="36"/>
      <c r="C28" s="36"/>
      <c r="D28" s="37"/>
      <c r="E28" s="37"/>
      <c r="F28" s="37"/>
      <c r="G28" s="36"/>
      <c r="H28" s="36"/>
      <c r="I28" s="36"/>
      <c r="J28" s="37"/>
      <c r="K28" s="37"/>
      <c r="L28" s="35"/>
      <c r="M28" s="35"/>
      <c r="N28" s="35"/>
      <c r="O28" s="35"/>
      <c r="P28" s="35"/>
      <c r="Q28" s="35"/>
      <c r="R28" s="35"/>
      <c r="S28" s="35"/>
      <c r="T28" s="35"/>
      <c r="U28" s="35"/>
      <c r="V28" s="35"/>
    </row>
    <row r="29" spans="1:22" ht="15" customHeight="1" x14ac:dyDescent="0.35">
      <c r="A29" s="36"/>
      <c r="B29" s="36"/>
      <c r="C29" s="36"/>
      <c r="D29" s="37"/>
      <c r="E29" s="37"/>
      <c r="F29" s="37"/>
      <c r="G29" s="36"/>
      <c r="H29" s="36"/>
      <c r="I29" s="36"/>
      <c r="J29" s="37"/>
      <c r="K29" s="37"/>
      <c r="L29" s="35"/>
      <c r="M29" s="35"/>
      <c r="N29" s="35"/>
      <c r="O29" s="35"/>
      <c r="P29" s="35"/>
      <c r="Q29" s="35"/>
      <c r="R29" s="35"/>
      <c r="S29" s="35"/>
      <c r="T29" s="35"/>
      <c r="U29" s="35"/>
      <c r="V29" s="35"/>
    </row>
    <row r="30" spans="1:22" ht="15" customHeight="1" x14ac:dyDescent="0.35">
      <c r="A30" s="36"/>
      <c r="B30" s="36"/>
      <c r="C30" s="36"/>
      <c r="D30" s="37"/>
      <c r="E30" s="37"/>
      <c r="F30" s="37"/>
      <c r="G30" s="36"/>
      <c r="H30" s="36"/>
      <c r="I30" s="36"/>
      <c r="J30" s="37"/>
      <c r="K30" s="37"/>
      <c r="L30" s="35"/>
      <c r="M30" s="35"/>
      <c r="N30" s="35"/>
      <c r="O30" s="35"/>
      <c r="P30" s="35"/>
      <c r="Q30" s="35"/>
      <c r="R30" s="35"/>
      <c r="S30" s="35"/>
      <c r="T30" s="35"/>
      <c r="U30" s="35"/>
      <c r="V30" s="35"/>
    </row>
    <row r="31" spans="1:22" ht="15" customHeight="1" x14ac:dyDescent="0.35">
      <c r="A31" s="36"/>
      <c r="B31" s="36"/>
      <c r="C31" s="36"/>
      <c r="D31" s="36"/>
      <c r="E31" s="36"/>
      <c r="F31" s="36"/>
      <c r="G31" s="36"/>
      <c r="H31" s="36"/>
      <c r="I31" s="38"/>
      <c r="J31" s="37"/>
      <c r="K31" s="37"/>
      <c r="L31" s="35"/>
      <c r="M31" s="35"/>
      <c r="N31" s="35"/>
      <c r="O31" s="35"/>
      <c r="P31" s="35"/>
      <c r="Q31" s="35"/>
      <c r="R31" s="35"/>
      <c r="S31" s="35"/>
      <c r="T31" s="35"/>
      <c r="U31" s="35"/>
      <c r="V31" s="35"/>
    </row>
    <row r="32" spans="1:22" ht="15" customHeight="1" x14ac:dyDescent="0.35">
      <c r="A32" s="36"/>
      <c r="B32" s="36"/>
      <c r="C32" s="36"/>
      <c r="D32" s="36"/>
      <c r="E32" s="36"/>
      <c r="F32" s="36"/>
      <c r="G32" s="36"/>
      <c r="H32" s="36"/>
      <c r="I32" s="38"/>
      <c r="J32" s="37"/>
      <c r="K32" s="37"/>
      <c r="L32" s="35"/>
      <c r="M32" s="35"/>
      <c r="N32" s="35"/>
      <c r="O32" s="35"/>
      <c r="P32" s="35"/>
      <c r="Q32" s="35"/>
      <c r="R32" s="35"/>
      <c r="S32" s="35"/>
      <c r="T32" s="35"/>
      <c r="U32" s="35"/>
      <c r="V32" s="35"/>
    </row>
    <row r="33" spans="1:22" ht="15" customHeight="1" x14ac:dyDescent="0.35">
      <c r="A33" s="38"/>
      <c r="B33" s="38"/>
      <c r="C33" s="38"/>
      <c r="D33" s="38"/>
      <c r="E33" s="38"/>
      <c r="F33" s="38"/>
      <c r="G33" s="38"/>
      <c r="H33" s="38"/>
      <c r="I33" s="38"/>
      <c r="J33" s="38"/>
      <c r="K33" s="38"/>
      <c r="L33" s="35"/>
      <c r="M33" s="35"/>
      <c r="N33" s="35"/>
      <c r="O33" s="35"/>
      <c r="P33" s="35"/>
      <c r="Q33" s="35"/>
      <c r="R33" s="35"/>
      <c r="S33" s="35"/>
      <c r="T33" s="35"/>
      <c r="U33" s="35"/>
      <c r="V33" s="35"/>
    </row>
    <row r="34" spans="1:22" ht="15" customHeight="1" x14ac:dyDescent="0.35">
      <c r="A34" s="38"/>
      <c r="B34" s="38"/>
      <c r="C34" s="38"/>
      <c r="D34" s="38"/>
      <c r="E34" s="38"/>
      <c r="F34" s="38"/>
      <c r="G34" s="38"/>
      <c r="H34" s="38"/>
      <c r="I34" s="38"/>
      <c r="J34" s="38"/>
      <c r="K34" s="38"/>
      <c r="L34" s="35"/>
      <c r="M34" s="35"/>
      <c r="N34" s="35"/>
      <c r="O34" s="35"/>
      <c r="P34" s="35"/>
      <c r="Q34" s="35"/>
      <c r="R34" s="35"/>
      <c r="S34" s="35"/>
      <c r="T34" s="35"/>
      <c r="U34" s="35"/>
      <c r="V34" s="35"/>
    </row>
    <row r="35" spans="1:22" ht="15" customHeight="1" x14ac:dyDescent="0.35">
      <c r="A35" s="38"/>
      <c r="B35" s="38"/>
      <c r="C35" s="38"/>
      <c r="D35" s="38"/>
      <c r="E35" s="38"/>
      <c r="F35" s="38"/>
      <c r="G35" s="38"/>
      <c r="H35" s="38"/>
      <c r="I35" s="38"/>
      <c r="J35" s="38"/>
      <c r="K35" s="38"/>
      <c r="L35" s="35"/>
      <c r="M35" s="35"/>
      <c r="N35" s="35"/>
      <c r="O35" s="35"/>
      <c r="P35" s="35"/>
      <c r="Q35" s="35"/>
      <c r="R35" s="35"/>
      <c r="S35" s="35"/>
      <c r="T35" s="35"/>
      <c r="U35" s="35"/>
      <c r="V35" s="35"/>
    </row>
    <row r="36" spans="1:22" ht="15" customHeight="1" x14ac:dyDescent="0.35">
      <c r="A36" s="38"/>
      <c r="B36" s="38"/>
      <c r="C36" s="38"/>
      <c r="D36" s="38"/>
      <c r="E36" s="38"/>
      <c r="F36" s="38"/>
      <c r="G36" s="38"/>
      <c r="H36" s="38"/>
      <c r="I36" s="38"/>
      <c r="J36" s="38"/>
      <c r="K36" s="38"/>
      <c r="L36" s="35"/>
      <c r="M36" s="35"/>
      <c r="N36" s="35"/>
      <c r="O36" s="35"/>
      <c r="P36" s="35"/>
      <c r="Q36" s="35"/>
      <c r="R36" s="35"/>
      <c r="S36" s="35"/>
      <c r="T36" s="35"/>
      <c r="U36" s="35"/>
      <c r="V36" s="35"/>
    </row>
    <row r="37" spans="1:22" ht="15" customHeight="1" x14ac:dyDescent="0.35">
      <c r="A37" s="38"/>
      <c r="B37" s="38"/>
      <c r="C37" s="38"/>
      <c r="D37" s="38"/>
      <c r="E37" s="38"/>
      <c r="F37" s="38"/>
      <c r="G37" s="38"/>
      <c r="H37" s="38"/>
      <c r="I37" s="38"/>
      <c r="J37" s="38"/>
      <c r="K37" s="38"/>
      <c r="L37" s="35"/>
      <c r="M37" s="35"/>
      <c r="N37" s="35"/>
      <c r="O37" s="35"/>
      <c r="P37" s="35"/>
      <c r="Q37" s="35"/>
      <c r="R37" s="35"/>
      <c r="S37" s="35"/>
      <c r="T37" s="35"/>
      <c r="U37" s="35"/>
      <c r="V37" s="35"/>
    </row>
    <row r="38" spans="1:22" ht="15" customHeight="1" x14ac:dyDescent="0.35">
      <c r="A38" s="38"/>
      <c r="B38" s="38"/>
      <c r="C38" s="38"/>
      <c r="D38" s="38"/>
      <c r="E38" s="38"/>
      <c r="F38" s="38"/>
      <c r="G38" s="38"/>
      <c r="H38" s="38"/>
      <c r="I38" s="38"/>
      <c r="J38" s="38"/>
      <c r="K38" s="38"/>
      <c r="L38" s="35"/>
      <c r="M38" s="35"/>
      <c r="N38" s="35"/>
      <c r="O38" s="35"/>
      <c r="P38" s="35"/>
      <c r="Q38" s="35"/>
      <c r="R38" s="35"/>
      <c r="S38" s="35"/>
      <c r="T38" s="35"/>
      <c r="U38" s="35"/>
      <c r="V38" s="35"/>
    </row>
    <row r="39" spans="1:22" ht="15" customHeight="1" x14ac:dyDescent="0.35">
      <c r="A39" s="38"/>
      <c r="B39" s="38"/>
      <c r="C39" s="38"/>
      <c r="D39" s="38"/>
      <c r="E39" s="38"/>
      <c r="F39" s="38"/>
      <c r="G39" s="38"/>
      <c r="H39" s="38"/>
      <c r="I39" s="38"/>
      <c r="J39" s="38"/>
      <c r="K39" s="38"/>
      <c r="L39" s="35"/>
      <c r="M39" s="35"/>
      <c r="N39" s="35"/>
      <c r="O39" s="35"/>
      <c r="P39" s="35"/>
      <c r="Q39" s="35"/>
      <c r="R39" s="35"/>
      <c r="S39" s="35"/>
      <c r="T39" s="35"/>
      <c r="U39" s="35"/>
      <c r="V39" s="35"/>
    </row>
    <row r="40" spans="1:22" ht="15" customHeight="1" x14ac:dyDescent="0.35">
      <c r="A40" s="38"/>
      <c r="B40" s="38"/>
      <c r="C40" s="38"/>
      <c r="D40" s="38"/>
      <c r="E40" s="38"/>
      <c r="F40" s="38"/>
      <c r="G40" s="38"/>
      <c r="H40" s="38"/>
      <c r="I40" s="38"/>
      <c r="J40" s="38"/>
      <c r="K40" s="38"/>
      <c r="L40" s="35"/>
      <c r="M40" s="35"/>
      <c r="N40" s="35"/>
      <c r="O40" s="35"/>
      <c r="P40" s="35"/>
      <c r="Q40" s="35"/>
      <c r="R40" s="35"/>
      <c r="S40" s="35"/>
      <c r="T40" s="35"/>
      <c r="U40" s="35"/>
      <c r="V40" s="35"/>
    </row>
    <row r="41" spans="1:22" ht="15" customHeight="1" x14ac:dyDescent="0.35">
      <c r="A41" s="38"/>
      <c r="B41" s="38"/>
      <c r="C41" s="38"/>
      <c r="D41" s="38"/>
      <c r="E41" s="38"/>
      <c r="F41" s="38"/>
      <c r="G41" s="38"/>
      <c r="H41" s="38"/>
      <c r="I41" s="38"/>
      <c r="J41" s="38"/>
      <c r="K41" s="38"/>
      <c r="L41" s="35"/>
      <c r="M41" s="35"/>
      <c r="N41" s="35"/>
      <c r="O41" s="35"/>
      <c r="P41" s="35"/>
      <c r="Q41" s="35"/>
      <c r="R41" s="35"/>
      <c r="S41" s="35"/>
      <c r="T41" s="35"/>
      <c r="U41" s="35"/>
      <c r="V41" s="35"/>
    </row>
    <row r="42" spans="1:22" ht="15" customHeight="1" x14ac:dyDescent="0.35">
      <c r="A42" s="38"/>
      <c r="B42" s="38"/>
      <c r="C42" s="38"/>
      <c r="D42" s="38"/>
      <c r="E42" s="38"/>
      <c r="F42" s="38"/>
      <c r="G42" s="38"/>
      <c r="H42" s="38"/>
      <c r="I42" s="38"/>
      <c r="J42" s="38"/>
      <c r="K42" s="38"/>
      <c r="L42" s="35"/>
      <c r="M42" s="35"/>
      <c r="N42" s="35"/>
      <c r="O42" s="35"/>
      <c r="P42" s="35"/>
      <c r="Q42" s="35"/>
      <c r="R42" s="35"/>
      <c r="S42" s="35"/>
      <c r="T42" s="35"/>
      <c r="U42" s="35"/>
      <c r="V42" s="35"/>
    </row>
    <row r="43" spans="1:22" ht="15" customHeight="1" x14ac:dyDescent="0.35">
      <c r="A43" s="38"/>
      <c r="B43" s="38"/>
      <c r="C43" s="38"/>
      <c r="D43" s="38"/>
      <c r="E43" s="38"/>
      <c r="F43" s="38"/>
      <c r="G43" s="38"/>
      <c r="H43" s="38"/>
      <c r="I43" s="38"/>
      <c r="J43" s="38"/>
      <c r="K43" s="38"/>
      <c r="L43" s="35"/>
      <c r="M43" s="35"/>
      <c r="N43" s="35"/>
      <c r="O43" s="35"/>
      <c r="P43" s="35"/>
      <c r="Q43" s="35"/>
      <c r="R43" s="35"/>
      <c r="S43" s="35"/>
      <c r="T43" s="35"/>
      <c r="U43" s="35"/>
      <c r="V43" s="35"/>
    </row>
    <row r="44" spans="1:22" ht="15" customHeight="1" x14ac:dyDescent="0.35">
      <c r="A44" s="38"/>
      <c r="B44" s="38"/>
      <c r="C44" s="38"/>
      <c r="D44" s="38"/>
      <c r="E44" s="38"/>
      <c r="F44" s="38"/>
      <c r="G44" s="38"/>
      <c r="H44" s="38"/>
      <c r="I44" s="38"/>
      <c r="J44" s="38"/>
      <c r="K44" s="38"/>
      <c r="L44" s="35"/>
      <c r="M44" s="35"/>
      <c r="N44" s="35"/>
      <c r="O44" s="35"/>
      <c r="P44" s="35"/>
      <c r="Q44" s="35"/>
      <c r="R44" s="35"/>
      <c r="S44" s="35"/>
      <c r="T44" s="35"/>
      <c r="U44" s="35"/>
      <c r="V44" s="35"/>
    </row>
    <row r="45" spans="1:22" ht="15" customHeight="1" x14ac:dyDescent="0.35">
      <c r="A45" s="38"/>
      <c r="B45" s="38"/>
      <c r="C45" s="38"/>
      <c r="D45" s="38"/>
      <c r="E45" s="38"/>
      <c r="F45" s="38"/>
      <c r="G45" s="38"/>
      <c r="H45" s="38"/>
      <c r="I45" s="38"/>
      <c r="J45" s="38"/>
      <c r="K45" s="38"/>
      <c r="L45" s="35"/>
      <c r="M45" s="35"/>
      <c r="N45" s="35"/>
      <c r="O45" s="35"/>
      <c r="P45" s="35"/>
      <c r="Q45" s="35"/>
      <c r="R45" s="35"/>
      <c r="S45" s="35"/>
      <c r="T45" s="35"/>
      <c r="U45" s="35"/>
      <c r="V45" s="35"/>
    </row>
    <row r="46" spans="1:22" ht="15" customHeight="1" x14ac:dyDescent="0.35">
      <c r="A46" s="38"/>
      <c r="B46" s="38"/>
      <c r="C46" s="38"/>
      <c r="D46" s="38"/>
      <c r="E46" s="38"/>
      <c r="F46" s="38"/>
      <c r="G46" s="38"/>
      <c r="H46" s="38"/>
      <c r="I46" s="38"/>
      <c r="J46" s="38"/>
      <c r="K46" s="38"/>
      <c r="L46" s="35"/>
      <c r="M46" s="35"/>
      <c r="N46" s="35"/>
      <c r="O46" s="35"/>
      <c r="P46" s="35"/>
      <c r="Q46" s="35"/>
      <c r="R46" s="35"/>
      <c r="S46" s="35"/>
      <c r="T46" s="35"/>
      <c r="U46" s="35"/>
      <c r="V46" s="35"/>
    </row>
    <row r="47" spans="1:22" ht="15" customHeight="1" x14ac:dyDescent="0.35">
      <c r="A47" s="38"/>
      <c r="B47" s="38"/>
      <c r="C47" s="38"/>
      <c r="D47" s="38"/>
      <c r="E47" s="38"/>
      <c r="F47" s="38"/>
      <c r="G47" s="38"/>
      <c r="H47" s="38"/>
      <c r="I47" s="38"/>
      <c r="J47" s="38"/>
      <c r="K47" s="38"/>
      <c r="L47" s="35"/>
      <c r="M47" s="35"/>
      <c r="N47" s="35"/>
      <c r="O47" s="35"/>
      <c r="P47" s="35"/>
      <c r="Q47" s="35"/>
      <c r="R47" s="35"/>
      <c r="S47" s="35"/>
      <c r="T47" s="35"/>
      <c r="U47" s="35"/>
      <c r="V47" s="35"/>
    </row>
    <row r="48" spans="1:22" ht="15" customHeight="1" x14ac:dyDescent="0.35">
      <c r="A48" s="38"/>
      <c r="B48" s="38"/>
      <c r="C48" s="38"/>
      <c r="D48" s="38"/>
      <c r="E48" s="38"/>
      <c r="F48" s="38"/>
      <c r="G48" s="38"/>
      <c r="H48" s="38"/>
      <c r="I48" s="38"/>
      <c r="J48" s="38"/>
      <c r="K48" s="38"/>
      <c r="L48" s="35"/>
      <c r="M48" s="35"/>
      <c r="N48" s="35"/>
      <c r="O48" s="35"/>
      <c r="P48" s="35"/>
      <c r="Q48" s="35"/>
      <c r="R48" s="35"/>
      <c r="S48" s="35"/>
      <c r="T48" s="35"/>
      <c r="U48" s="35"/>
      <c r="V48" s="35"/>
    </row>
    <row r="49" spans="1:22" ht="15" customHeight="1" x14ac:dyDescent="0.35">
      <c r="A49" s="38"/>
      <c r="B49" s="38"/>
      <c r="C49" s="38"/>
      <c r="D49" s="38"/>
      <c r="E49" s="38"/>
      <c r="F49" s="38"/>
      <c r="G49" s="38"/>
      <c r="H49" s="38"/>
      <c r="I49" s="38"/>
      <c r="J49" s="38"/>
      <c r="K49" s="38"/>
      <c r="L49" s="35"/>
      <c r="M49" s="35"/>
      <c r="N49" s="35"/>
      <c r="O49" s="35"/>
      <c r="P49" s="35"/>
      <c r="Q49" s="35"/>
      <c r="R49" s="35"/>
      <c r="S49" s="35"/>
      <c r="T49" s="35"/>
      <c r="U49" s="35"/>
      <c r="V49" s="35"/>
    </row>
    <row r="50" spans="1:22" ht="15" customHeight="1" x14ac:dyDescent="0.35">
      <c r="A50" s="38"/>
      <c r="B50" s="38"/>
      <c r="C50" s="38"/>
      <c r="D50" s="38"/>
      <c r="E50" s="38"/>
      <c r="F50" s="38"/>
      <c r="G50" s="38"/>
      <c r="H50" s="38"/>
      <c r="I50" s="38"/>
      <c r="J50" s="38"/>
      <c r="K50" s="38"/>
      <c r="L50" s="35"/>
      <c r="M50" s="35"/>
      <c r="N50" s="35"/>
      <c r="O50" s="35"/>
      <c r="P50" s="35"/>
      <c r="Q50" s="35"/>
      <c r="R50" s="35"/>
      <c r="S50" s="35"/>
      <c r="T50" s="35"/>
      <c r="U50" s="35"/>
      <c r="V50" s="35"/>
    </row>
    <row r="51" spans="1:22" ht="15" customHeight="1" x14ac:dyDescent="0.35">
      <c r="A51" s="38"/>
      <c r="B51" s="38"/>
      <c r="C51" s="38"/>
      <c r="D51" s="38"/>
      <c r="E51" s="38"/>
      <c r="F51" s="38"/>
      <c r="G51" s="38"/>
      <c r="H51" s="38"/>
      <c r="I51" s="38"/>
      <c r="J51" s="38"/>
      <c r="K51" s="38"/>
      <c r="L51" s="35"/>
      <c r="M51" s="35"/>
      <c r="N51" s="35"/>
      <c r="O51" s="35"/>
      <c r="P51" s="35"/>
      <c r="Q51" s="35"/>
      <c r="R51" s="35"/>
      <c r="S51" s="35"/>
      <c r="T51" s="35"/>
      <c r="U51" s="35"/>
      <c r="V51" s="35"/>
    </row>
    <row r="52" spans="1:22" ht="15" customHeight="1" x14ac:dyDescent="0.35">
      <c r="A52" s="38"/>
      <c r="B52" s="38"/>
      <c r="C52" s="38"/>
      <c r="D52" s="38"/>
      <c r="E52" s="38"/>
      <c r="F52" s="38"/>
      <c r="G52" s="38"/>
      <c r="H52" s="38"/>
      <c r="I52" s="38"/>
      <c r="J52" s="38"/>
      <c r="K52" s="38"/>
      <c r="L52" s="35"/>
      <c r="M52" s="35"/>
      <c r="N52" s="35"/>
      <c r="O52" s="35"/>
      <c r="P52" s="35"/>
      <c r="Q52" s="35"/>
      <c r="R52" s="35"/>
      <c r="S52" s="35"/>
      <c r="T52" s="35"/>
      <c r="U52" s="35"/>
      <c r="V52" s="35"/>
    </row>
    <row r="53" spans="1:22" ht="15" customHeight="1" x14ac:dyDescent="0.35">
      <c r="A53" s="38"/>
      <c r="B53" s="38"/>
      <c r="C53" s="38"/>
      <c r="D53" s="38"/>
      <c r="E53" s="38"/>
      <c r="F53" s="38"/>
      <c r="G53" s="38"/>
      <c r="H53" s="38"/>
      <c r="I53" s="38"/>
      <c r="J53" s="38"/>
      <c r="K53" s="38"/>
      <c r="L53" s="35"/>
      <c r="M53" s="35"/>
      <c r="N53" s="35"/>
      <c r="O53" s="35"/>
      <c r="P53" s="35"/>
      <c r="Q53" s="35"/>
      <c r="R53" s="35"/>
      <c r="S53" s="35"/>
      <c r="T53" s="35"/>
      <c r="U53" s="35"/>
      <c r="V53" s="35"/>
    </row>
  </sheetData>
  <mergeCells count="16">
    <mergeCell ref="J1:K23"/>
    <mergeCell ref="D14:F21"/>
    <mergeCell ref="H23:I23"/>
    <mergeCell ref="A22:A23"/>
    <mergeCell ref="B22:C23"/>
    <mergeCell ref="D22:F23"/>
    <mergeCell ref="A1:A21"/>
    <mergeCell ref="D1:F8"/>
    <mergeCell ref="B13:C13"/>
    <mergeCell ref="I9:I15"/>
    <mergeCell ref="B1:C1"/>
    <mergeCell ref="B10:C10"/>
    <mergeCell ref="B16:C16"/>
    <mergeCell ref="C17:C21"/>
    <mergeCell ref="B17:B21"/>
    <mergeCell ref="D9:F13"/>
  </mergeCells>
  <conditionalFormatting sqref="C15">
    <cfRule type="cellIs" dxfId="16" priority="1" operator="equal">
      <formula>"Review ongoing"</formula>
    </cfRule>
    <cfRule type="cellIs" dxfId="15" priority="2" operator="equal">
      <formula>"No"</formula>
    </cfRule>
    <cfRule type="cellIs" dxfId="14" priority="3" operator="equal">
      <formula>"Yes"</formula>
    </cfRule>
  </conditionalFormatting>
  <dataValidations count="7">
    <dataValidation type="list" allowBlank="1" showInputMessage="1" showErrorMessage="1" promptTitle="Select Category....." prompt="Category" sqref="C8" xr:uid="{B0C6558E-D673-47B2-BC1B-3261CA3961C9}">
      <formula1>"23R1,23R2,23R3,23R4,24R1,24R2,24R3,24R4,25R1,25R2,25R3,25R4,26R1,26R2,26R3,26R4"</formula1>
    </dataValidation>
    <dataValidation type="list" allowBlank="1" showInputMessage="1" showErrorMessage="1" sqref="C7" xr:uid="{D7356080-1E83-4ACF-918C-C3C1444F74E5}">
      <formula1>INDIRECT(L4)</formula1>
    </dataValidation>
    <dataValidation type="list" allowBlank="1" showInputMessage="1" showErrorMessage="1" sqref="C9" xr:uid="{2B46A864-2AA1-4F22-85D9-E6E40C65B209}">
      <formula1>"4G,5G,Both (4G and 5G),MultiRAT (including 2G/3G)"</formula1>
    </dataValidation>
    <dataValidation type="list" allowBlank="1" showInputMessage="1" showErrorMessage="1" sqref="C5" xr:uid="{4D6A74EB-CD16-49D3-A126-695807D2DD86}">
      <formula1>"Cloud,Operability,RRM_and_Telecom,Site_Solution,Transport"</formula1>
    </dataValidation>
    <dataValidation type="list" allowBlank="1" showInputMessage="1" showErrorMessage="1" sqref="C6" xr:uid="{466780FF-2EC9-48CB-AB9D-14F2F80D0712}">
      <formula1>INDIRECT(C5)</formula1>
    </dataValidation>
    <dataValidation type="list" allowBlank="1" showInputMessage="1" showErrorMessage="1" sqref="C15" xr:uid="{91ECC203-E8B9-4C8E-B68D-57698A6F2F7B}">
      <formula1>"Yes,No,Review ongoing"</formula1>
    </dataValidation>
    <dataValidation type="list" allowBlank="1" showInputMessage="1" showErrorMessage="1" sqref="C2" xr:uid="{020369CE-00A9-4510-A0AC-7C849D309025}">
      <formula1>"New Review,Re-review"</formula1>
    </dataValidation>
  </dataValidations>
  <hyperlinks>
    <hyperlink ref="C4" r:id="rId1" xr:uid="{77A98047-F0C6-4120-816B-651B1F0570B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107" r:id="rId5" name="CheckBox7">
          <controlPr defaultSize="0" autoLine="0" autoPict="0" r:id="rId6">
            <anchor>
              <from>
                <xdr:col>4</xdr:col>
                <xdr:colOff>19050</xdr:colOff>
                <xdr:row>18</xdr:row>
                <xdr:rowOff>57150</xdr:rowOff>
              </from>
              <to>
                <xdr:col>5</xdr:col>
                <xdr:colOff>127000</xdr:colOff>
                <xdr:row>19</xdr:row>
                <xdr:rowOff>44450</xdr:rowOff>
              </to>
            </anchor>
          </controlPr>
        </control>
      </mc:Choice>
      <mc:Fallback>
        <control shapeId="1107" r:id="rId5" name="CheckBox7"/>
      </mc:Fallback>
    </mc:AlternateContent>
    <mc:AlternateContent xmlns:mc="http://schemas.openxmlformats.org/markup-compatibility/2006">
      <mc:Choice Requires="x14">
        <control shapeId="1104" r:id="rId7" name="OptionButton2">
          <controlPr defaultSize="0" autoLine="0" r:id="rId8">
            <anchor>
              <from>
                <xdr:col>4</xdr:col>
                <xdr:colOff>463550</xdr:colOff>
                <xdr:row>10</xdr:row>
                <xdr:rowOff>146050</xdr:rowOff>
              </from>
              <to>
                <xdr:col>5</xdr:col>
                <xdr:colOff>438150</xdr:colOff>
                <xdr:row>12</xdr:row>
                <xdr:rowOff>76200</xdr:rowOff>
              </to>
            </anchor>
          </controlPr>
        </control>
      </mc:Choice>
      <mc:Fallback>
        <control shapeId="1104" r:id="rId7" name="OptionButton2"/>
      </mc:Fallback>
    </mc:AlternateContent>
    <mc:AlternateContent xmlns:mc="http://schemas.openxmlformats.org/markup-compatibility/2006">
      <mc:Choice Requires="x14">
        <control shapeId="1103" r:id="rId9" name="OptionButton1">
          <controlPr defaultSize="0" autoLine="0" r:id="rId10">
            <anchor>
              <from>
                <xdr:col>3</xdr:col>
                <xdr:colOff>209550</xdr:colOff>
                <xdr:row>10</xdr:row>
                <xdr:rowOff>146050</xdr:rowOff>
              </from>
              <to>
                <xdr:col>4</xdr:col>
                <xdr:colOff>196850</xdr:colOff>
                <xdr:row>12</xdr:row>
                <xdr:rowOff>76200</xdr:rowOff>
              </to>
            </anchor>
          </controlPr>
        </control>
      </mc:Choice>
      <mc:Fallback>
        <control shapeId="1103" r:id="rId9" name="OptionButton1"/>
      </mc:Fallback>
    </mc:AlternateContent>
    <mc:AlternateContent xmlns:mc="http://schemas.openxmlformats.org/markup-compatibility/2006">
      <mc:Choice Requires="x14">
        <control shapeId="1096" r:id="rId11" name="CheckBox6">
          <controlPr defaultSize="0" autoLine="0" autoPict="0" r:id="rId12">
            <anchor>
              <from>
                <xdr:col>4</xdr:col>
                <xdr:colOff>425450</xdr:colOff>
                <xdr:row>17</xdr:row>
                <xdr:rowOff>0</xdr:rowOff>
              </from>
              <to>
                <xdr:col>5</xdr:col>
                <xdr:colOff>533400</xdr:colOff>
                <xdr:row>17</xdr:row>
                <xdr:rowOff>177800</xdr:rowOff>
              </to>
            </anchor>
          </controlPr>
        </control>
      </mc:Choice>
      <mc:Fallback>
        <control shapeId="1096" r:id="rId11" name="CheckBox6"/>
      </mc:Fallback>
    </mc:AlternateContent>
    <mc:AlternateContent xmlns:mc="http://schemas.openxmlformats.org/markup-compatibility/2006">
      <mc:Choice Requires="x14">
        <control shapeId="1095" r:id="rId13" name="CheckBox5">
          <controlPr defaultSize="0" autoLine="0" autoPict="0" r:id="rId14">
            <anchor>
              <from>
                <xdr:col>3</xdr:col>
                <xdr:colOff>127000</xdr:colOff>
                <xdr:row>17</xdr:row>
                <xdr:rowOff>6350</xdr:rowOff>
              </from>
              <to>
                <xdr:col>4</xdr:col>
                <xdr:colOff>234950</xdr:colOff>
                <xdr:row>17</xdr:row>
                <xdr:rowOff>190500</xdr:rowOff>
              </to>
            </anchor>
          </controlPr>
        </control>
      </mc:Choice>
      <mc:Fallback>
        <control shapeId="1095" r:id="rId13" name="CheckBox5"/>
      </mc:Fallback>
    </mc:AlternateContent>
    <mc:AlternateContent xmlns:mc="http://schemas.openxmlformats.org/markup-compatibility/2006">
      <mc:Choice Requires="x14">
        <control shapeId="1094" r:id="rId15" name="CheckBox4">
          <controlPr defaultSize="0" autoLine="0" autoPict="0" r:id="rId16">
            <anchor>
              <from>
                <xdr:col>4</xdr:col>
                <xdr:colOff>431800</xdr:colOff>
                <xdr:row>15</xdr:row>
                <xdr:rowOff>158750</xdr:rowOff>
              </from>
              <to>
                <xdr:col>5</xdr:col>
                <xdr:colOff>546100</xdr:colOff>
                <xdr:row>16</xdr:row>
                <xdr:rowOff>146050</xdr:rowOff>
              </to>
            </anchor>
          </controlPr>
        </control>
      </mc:Choice>
      <mc:Fallback>
        <control shapeId="1094" r:id="rId15" name="CheckBox4"/>
      </mc:Fallback>
    </mc:AlternateContent>
    <mc:AlternateContent xmlns:mc="http://schemas.openxmlformats.org/markup-compatibility/2006">
      <mc:Choice Requires="x14">
        <control shapeId="1093" r:id="rId17" name="CheckBox3">
          <controlPr defaultSize="0" autoLine="0" autoPict="0" r:id="rId18">
            <anchor>
              <from>
                <xdr:col>3</xdr:col>
                <xdr:colOff>120650</xdr:colOff>
                <xdr:row>15</xdr:row>
                <xdr:rowOff>158750</xdr:rowOff>
              </from>
              <to>
                <xdr:col>4</xdr:col>
                <xdr:colOff>228600</xdr:colOff>
                <xdr:row>16</xdr:row>
                <xdr:rowOff>146050</xdr:rowOff>
              </to>
            </anchor>
          </controlPr>
        </control>
      </mc:Choice>
      <mc:Fallback>
        <control shapeId="1093" r:id="rId17" name="CheckBox3"/>
      </mc:Fallback>
    </mc:AlternateContent>
    <mc:AlternateContent xmlns:mc="http://schemas.openxmlformats.org/markup-compatibility/2006">
      <mc:Choice Requires="x14">
        <control shapeId="1092" r:id="rId19" name="CheckBox2">
          <controlPr defaultSize="0" autoLine="0" autoPict="0" r:id="rId20">
            <anchor>
              <from>
                <xdr:col>4</xdr:col>
                <xdr:colOff>431800</xdr:colOff>
                <xdr:row>14</xdr:row>
                <xdr:rowOff>120650</xdr:rowOff>
              </from>
              <to>
                <xdr:col>5</xdr:col>
                <xdr:colOff>546100</xdr:colOff>
                <xdr:row>15</xdr:row>
                <xdr:rowOff>107950</xdr:rowOff>
              </to>
            </anchor>
          </controlPr>
        </control>
      </mc:Choice>
      <mc:Fallback>
        <control shapeId="1092" r:id="rId19" name="CheckBox2"/>
      </mc:Fallback>
    </mc:AlternateContent>
    <mc:AlternateContent xmlns:mc="http://schemas.openxmlformats.org/markup-compatibility/2006">
      <mc:Choice Requires="x14">
        <control shapeId="1091" r:id="rId21" name="CheckBox1">
          <controlPr defaultSize="0" autoLine="0" autoPict="0" r:id="rId22">
            <anchor>
              <from>
                <xdr:col>3</xdr:col>
                <xdr:colOff>120650</xdr:colOff>
                <xdr:row>14</xdr:row>
                <xdr:rowOff>127000</xdr:rowOff>
              </from>
              <to>
                <xdr:col>4</xdr:col>
                <xdr:colOff>234950</xdr:colOff>
                <xdr:row>15</xdr:row>
                <xdr:rowOff>114300</xdr:rowOff>
              </to>
            </anchor>
          </controlPr>
        </control>
      </mc:Choice>
      <mc:Fallback>
        <control shapeId="1091" r:id="rId21" name="Check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EF6C9-9A07-403E-ACE0-9014CDD9FB86}">
  <sheetPr codeName="Sheet5"/>
  <dimension ref="A1:H100"/>
  <sheetViews>
    <sheetView showGridLines="0" zoomScaleNormal="100" workbookViewId="0">
      <pane ySplit="6" topLeftCell="A7" activePane="bottomLeft" state="frozen"/>
      <selection pane="bottomLeft" activeCell="G8" sqref="G8"/>
    </sheetView>
  </sheetViews>
  <sheetFormatPr defaultColWidth="8.7265625" defaultRowHeight="14" x14ac:dyDescent="0.3"/>
  <cols>
    <col min="1" max="1" width="6.26953125" style="1" customWidth="1"/>
    <col min="2" max="2" width="12.26953125" style="1" customWidth="1"/>
    <col min="3" max="3" width="41.453125" style="10" customWidth="1"/>
    <col min="4" max="4" width="12.54296875" style="11" customWidth="1"/>
    <col min="5" max="5" width="26.81640625" style="11" customWidth="1"/>
    <col min="6" max="6" width="13.1796875" style="11" customWidth="1"/>
    <col min="7" max="7" width="40.453125" style="11" customWidth="1"/>
    <col min="8" max="8" width="13.453125" style="1" bestFit="1" customWidth="1"/>
    <col min="9" max="16384" width="8.7265625" style="1"/>
  </cols>
  <sheetData>
    <row r="1" spans="1:8" ht="18.5" thickBot="1" x14ac:dyDescent="0.45">
      <c r="A1" s="122" t="s">
        <v>5</v>
      </c>
      <c r="B1" s="123"/>
      <c r="C1" s="123"/>
      <c r="D1" s="123"/>
      <c r="E1" s="123"/>
      <c r="F1" s="123"/>
      <c r="G1" s="123"/>
      <c r="H1" s="124"/>
    </row>
    <row r="2" spans="1:8" ht="14.15" customHeight="1" x14ac:dyDescent="0.3">
      <c r="A2" s="116" t="s">
        <v>6</v>
      </c>
      <c r="B2" s="117"/>
      <c r="C2" s="60" t="s">
        <v>7</v>
      </c>
      <c r="D2" s="65">
        <f>IF(COUNTIF(Seriousness,"&lt;&gt;")=0,"0",COUNTIF(Seriousness,"&lt;&gt;"))</f>
        <v>1</v>
      </c>
      <c r="E2" s="125" t="s">
        <v>8</v>
      </c>
      <c r="F2" s="126"/>
      <c r="G2" s="61" t="str">
        <f>IF(COUNTIF(CorrectionStatus,"FURTHER DEV")=0,"0",COUNTIF(CorrectionStatus,"FURTHER DEV"))</f>
        <v>0</v>
      </c>
      <c r="H2" s="114" t="s">
        <v>9</v>
      </c>
    </row>
    <row r="3" spans="1:8" ht="14.5" customHeight="1" x14ac:dyDescent="0.3">
      <c r="A3" s="118"/>
      <c r="B3" s="119"/>
      <c r="C3" s="62" t="s">
        <v>10</v>
      </c>
      <c r="D3" s="66" t="str">
        <f>IF(COUNTIF(Seriousness,"Fatal")=0,"",COUNTIF(Seriousness,"Fatal"))</f>
        <v/>
      </c>
      <c r="E3" s="127" t="s">
        <v>11</v>
      </c>
      <c r="F3" s="128"/>
      <c r="G3" s="68" t="str">
        <f>IF(COUNTIF(CorrectionStatus,"ACCEPTED")=0,"0",COUNTIF(CorrectionStatus,"ACCEPTED"))</f>
        <v>0</v>
      </c>
      <c r="H3" s="115"/>
    </row>
    <row r="4" spans="1:8" ht="14.5" customHeight="1" x14ac:dyDescent="0.3">
      <c r="A4" s="118"/>
      <c r="B4" s="119"/>
      <c r="C4" s="62" t="s">
        <v>12</v>
      </c>
      <c r="D4" s="66">
        <f>IF(COUNTIF(Seriousness,"Medium")=0,"",COUNTIF(Seriousness,"Medium"))</f>
        <v>1</v>
      </c>
      <c r="E4" s="127" t="s">
        <v>13</v>
      </c>
      <c r="F4" s="128"/>
      <c r="G4" s="63" t="str">
        <f>IF(COUNTIF(CorrectionStatus,"CORRECTED")=0,"0",COUNTIF(CorrectionStatus,"CORRECTED"))</f>
        <v>0</v>
      </c>
      <c r="H4" s="115"/>
    </row>
    <row r="5" spans="1:8" ht="14.5" customHeight="1" x14ac:dyDescent="0.3">
      <c r="A5" s="118"/>
      <c r="B5" s="119"/>
      <c r="C5" s="62" t="s">
        <v>14</v>
      </c>
      <c r="D5" s="66" t="str">
        <f>IF(COUNTIF(Seriousness,"Neutral")=0,"",COUNTIF(Seriousness,"Neutral"))</f>
        <v/>
      </c>
      <c r="E5" s="127" t="s">
        <v>15</v>
      </c>
      <c r="F5" s="128"/>
      <c r="G5" s="63">
        <f>IF(COUNTIF(CorrectionStatus,"REJECTED")=0,"0",COUNTIF(CorrectionStatus,"REJECTED"))</f>
        <v>1</v>
      </c>
      <c r="H5" s="59" t="str">
        <f>IF((COUNTIF(CorrectionStatus,"ACCEPTED")+COUNTIF(CorrectionStatus,"CORRECTED"))=0,"0",COUNTIF(CorrectionStatus,"ACCEPTED")+COUNTIF(CorrectionStatus,"CORRECTED"))</f>
        <v>0</v>
      </c>
    </row>
    <row r="6" spans="1:8" ht="27" customHeight="1" thickBot="1" x14ac:dyDescent="0.35">
      <c r="A6" s="120"/>
      <c r="B6" s="121"/>
      <c r="C6" s="64" t="s">
        <v>16</v>
      </c>
      <c r="D6" s="67" t="str">
        <f>IF(COUNTIF(Seriousness,"No comments")=0,"",COUNTIF(Seriousness,"No comments"))</f>
        <v/>
      </c>
      <c r="E6" s="112" t="s">
        <v>17</v>
      </c>
      <c r="F6" s="113"/>
      <c r="G6" s="69" t="str">
        <f>IF(COUNTIF(Agreed,"No")=0,"0",COUNTIF(Agreed,"No"))</f>
        <v>0</v>
      </c>
      <c r="H6" s="70" t="str">
        <f>IF(COUNTIF(CorrectionStatus,"No updates needed")=0,"0",COUNTIF(CorrectionStatus,"No updates needed"))</f>
        <v>0</v>
      </c>
    </row>
    <row r="7" spans="1:8" ht="46" customHeight="1" thickBot="1" x14ac:dyDescent="0.35">
      <c r="A7" s="54" t="s">
        <v>18</v>
      </c>
      <c r="B7" s="58" t="s">
        <v>19</v>
      </c>
      <c r="C7" s="58" t="s">
        <v>20</v>
      </c>
      <c r="D7" s="58" t="s">
        <v>21</v>
      </c>
      <c r="E7" s="75" t="s">
        <v>22</v>
      </c>
      <c r="F7" s="58" t="s">
        <v>23</v>
      </c>
      <c r="G7" s="58" t="s">
        <v>24</v>
      </c>
      <c r="H7" s="58" t="s">
        <v>65</v>
      </c>
    </row>
    <row r="8" spans="1:8" ht="14.5" x14ac:dyDescent="0.3">
      <c r="A8" s="71" t="s">
        <v>91</v>
      </c>
      <c r="B8" s="72" t="s">
        <v>92</v>
      </c>
      <c r="C8" s="72" t="s">
        <v>90</v>
      </c>
      <c r="D8" s="73" t="s">
        <v>12</v>
      </c>
      <c r="E8" s="31" t="s">
        <v>69</v>
      </c>
      <c r="F8" s="73" t="s">
        <v>67</v>
      </c>
      <c r="G8" s="74"/>
      <c r="H8" s="76" t="s">
        <v>68</v>
      </c>
    </row>
    <row r="9" spans="1:8" ht="14.5" x14ac:dyDescent="0.3">
      <c r="A9" s="20"/>
      <c r="B9" s="21"/>
      <c r="C9" s="21"/>
      <c r="D9" s="19"/>
      <c r="E9" s="31"/>
      <c r="F9" s="19"/>
      <c r="G9" s="48"/>
      <c r="H9" s="76" t="str">
        <f t="shared" ref="H9:H73" si="0">IF(OR(F9="REJECTED",F9="FURTHER Dev",F9="No updates needed"),"No","")</f>
        <v/>
      </c>
    </row>
    <row r="10" spans="1:8" ht="14.5" x14ac:dyDescent="0.3">
      <c r="A10" s="20"/>
      <c r="B10" s="21"/>
      <c r="C10" s="21"/>
      <c r="D10" s="19"/>
      <c r="E10" s="31"/>
      <c r="F10" s="19"/>
      <c r="G10" s="48"/>
      <c r="H10" s="76" t="str">
        <f t="shared" si="0"/>
        <v/>
      </c>
    </row>
    <row r="11" spans="1:8" ht="14.5" x14ac:dyDescent="0.3">
      <c r="A11" s="20"/>
      <c r="B11" s="21"/>
      <c r="C11" s="21"/>
      <c r="D11" s="19"/>
      <c r="E11" s="31"/>
      <c r="F11" s="19"/>
      <c r="G11" s="48"/>
      <c r="H11" s="76" t="str">
        <f t="shared" si="0"/>
        <v/>
      </c>
    </row>
    <row r="12" spans="1:8" s="2" customFormat="1" ht="14.5" x14ac:dyDescent="0.35">
      <c r="A12" s="20"/>
      <c r="B12" s="21"/>
      <c r="C12" s="21"/>
      <c r="D12" s="19"/>
      <c r="E12" s="31"/>
      <c r="F12" s="19"/>
      <c r="G12" s="48"/>
      <c r="H12" s="76" t="str">
        <f t="shared" si="0"/>
        <v/>
      </c>
    </row>
    <row r="13" spans="1:8" s="2" customFormat="1" ht="14.5" x14ac:dyDescent="0.35">
      <c r="A13" s="20"/>
      <c r="B13" s="21"/>
      <c r="C13" s="21"/>
      <c r="D13" s="19"/>
      <c r="E13" s="31"/>
      <c r="F13" s="19"/>
      <c r="G13" s="48"/>
      <c r="H13" s="76" t="str">
        <f t="shared" si="0"/>
        <v/>
      </c>
    </row>
    <row r="14" spans="1:8" s="2" customFormat="1" ht="14.5" x14ac:dyDescent="0.35">
      <c r="A14" s="20"/>
      <c r="B14" s="21"/>
      <c r="C14" s="21"/>
      <c r="D14" s="19"/>
      <c r="E14" s="31"/>
      <c r="F14" s="19"/>
      <c r="G14" s="48"/>
      <c r="H14" s="76" t="str">
        <f t="shared" si="0"/>
        <v/>
      </c>
    </row>
    <row r="15" spans="1:8" s="2" customFormat="1" ht="14.5" x14ac:dyDescent="0.35">
      <c r="A15" s="20"/>
      <c r="B15" s="21"/>
      <c r="C15" s="21"/>
      <c r="D15" s="19"/>
      <c r="E15" s="31"/>
      <c r="F15" s="19"/>
      <c r="G15" s="48"/>
      <c r="H15" s="76" t="str">
        <f t="shared" si="0"/>
        <v/>
      </c>
    </row>
    <row r="16" spans="1:8" s="2" customFormat="1" ht="14.5" x14ac:dyDescent="0.35">
      <c r="A16" s="20"/>
      <c r="B16" s="21"/>
      <c r="C16" s="55"/>
      <c r="D16" s="19"/>
      <c r="E16" s="31"/>
      <c r="F16" s="19"/>
      <c r="G16" s="48"/>
      <c r="H16" s="76" t="str">
        <f t="shared" si="0"/>
        <v/>
      </c>
    </row>
    <row r="17" spans="1:8" s="2" customFormat="1" ht="14.5" x14ac:dyDescent="0.35">
      <c r="A17" s="20"/>
      <c r="B17" s="21"/>
      <c r="C17" s="22"/>
      <c r="D17" s="19"/>
      <c r="E17" s="31"/>
      <c r="F17" s="19"/>
      <c r="G17" s="48"/>
      <c r="H17" s="76" t="str">
        <f t="shared" si="0"/>
        <v/>
      </c>
    </row>
    <row r="18" spans="1:8" s="3" customFormat="1" ht="14.5" x14ac:dyDescent="0.35">
      <c r="A18" s="20"/>
      <c r="B18" s="22"/>
      <c r="C18" s="22"/>
      <c r="D18" s="19"/>
      <c r="E18" s="31"/>
      <c r="F18" s="22"/>
      <c r="G18" s="48"/>
      <c r="H18" s="76" t="str">
        <f t="shared" si="0"/>
        <v/>
      </c>
    </row>
    <row r="19" spans="1:8" s="3" customFormat="1" ht="14.5" x14ac:dyDescent="0.35">
      <c r="A19" s="20"/>
      <c r="B19" s="22"/>
      <c r="C19" s="22"/>
      <c r="D19" s="19"/>
      <c r="E19" s="31"/>
      <c r="F19" s="19"/>
      <c r="G19" s="48"/>
      <c r="H19" s="76" t="str">
        <f t="shared" si="0"/>
        <v/>
      </c>
    </row>
    <row r="20" spans="1:8" s="4" customFormat="1" ht="14.5" x14ac:dyDescent="0.35">
      <c r="A20" s="23"/>
      <c r="B20" s="22"/>
      <c r="C20" s="22"/>
      <c r="D20" s="19"/>
      <c r="E20" s="49"/>
      <c r="F20" s="19"/>
      <c r="G20" s="48"/>
      <c r="H20" s="76" t="str">
        <f t="shared" si="0"/>
        <v/>
      </c>
    </row>
    <row r="21" spans="1:8" s="4" customFormat="1" ht="14.5" x14ac:dyDescent="0.35">
      <c r="A21" s="23"/>
      <c r="B21" s="22"/>
      <c r="C21" s="21"/>
      <c r="D21" s="19"/>
      <c r="E21" s="31"/>
      <c r="F21" s="19"/>
      <c r="G21" s="48"/>
      <c r="H21" s="76" t="str">
        <f t="shared" si="0"/>
        <v/>
      </c>
    </row>
    <row r="22" spans="1:8" s="4" customFormat="1" x14ac:dyDescent="0.35">
      <c r="A22" s="23"/>
      <c r="B22" s="22"/>
      <c r="C22" s="21"/>
      <c r="D22" s="19"/>
      <c r="E22" s="50"/>
      <c r="F22" s="19"/>
      <c r="G22" s="48"/>
      <c r="H22" s="76" t="str">
        <f t="shared" si="0"/>
        <v/>
      </c>
    </row>
    <row r="23" spans="1:8" s="4" customFormat="1" x14ac:dyDescent="0.35">
      <c r="A23" s="23"/>
      <c r="B23" s="22"/>
      <c r="C23" s="21"/>
      <c r="D23" s="19"/>
      <c r="E23" s="50"/>
      <c r="F23" s="19"/>
      <c r="G23" s="48"/>
      <c r="H23" s="76" t="str">
        <f t="shared" si="0"/>
        <v/>
      </c>
    </row>
    <row r="24" spans="1:8" s="4" customFormat="1" x14ac:dyDescent="0.35">
      <c r="A24" s="23"/>
      <c r="B24" s="22"/>
      <c r="C24" s="21"/>
      <c r="D24" s="19"/>
      <c r="E24" s="50"/>
      <c r="F24" s="19"/>
      <c r="G24" s="48"/>
      <c r="H24" s="76" t="str">
        <f t="shared" si="0"/>
        <v/>
      </c>
    </row>
    <row r="25" spans="1:8" ht="52.5" customHeight="1" x14ac:dyDescent="0.3">
      <c r="A25" s="23"/>
      <c r="B25" s="22"/>
      <c r="C25" s="21"/>
      <c r="D25" s="19"/>
      <c r="E25" s="50"/>
      <c r="F25" s="19"/>
      <c r="G25" s="48"/>
      <c r="H25" s="76" t="str">
        <f t="shared" si="0"/>
        <v/>
      </c>
    </row>
    <row r="26" spans="1:8" x14ac:dyDescent="0.3">
      <c r="A26" s="23"/>
      <c r="B26" s="22"/>
      <c r="C26" s="21"/>
      <c r="D26" s="19"/>
      <c r="E26" s="50"/>
      <c r="F26" s="19"/>
      <c r="G26" s="48"/>
      <c r="H26" s="76" t="str">
        <f t="shared" si="0"/>
        <v/>
      </c>
    </row>
    <row r="27" spans="1:8" x14ac:dyDescent="0.3">
      <c r="A27" s="23"/>
      <c r="B27" s="22"/>
      <c r="C27" s="21"/>
      <c r="D27" s="19"/>
      <c r="E27" s="50"/>
      <c r="F27" s="19"/>
      <c r="G27" s="48"/>
      <c r="H27" s="76" t="str">
        <f t="shared" si="0"/>
        <v/>
      </c>
    </row>
    <row r="28" spans="1:8" x14ac:dyDescent="0.3">
      <c r="A28" s="23"/>
      <c r="B28" s="22"/>
      <c r="C28" s="21"/>
      <c r="D28" s="19"/>
      <c r="E28" s="50"/>
      <c r="F28" s="19"/>
      <c r="G28" s="48"/>
      <c r="H28" s="76" t="str">
        <f t="shared" si="0"/>
        <v/>
      </c>
    </row>
    <row r="29" spans="1:8" x14ac:dyDescent="0.3">
      <c r="A29" s="23"/>
      <c r="B29" s="22"/>
      <c r="C29" s="21"/>
      <c r="D29" s="19"/>
      <c r="E29" s="50"/>
      <c r="F29" s="19"/>
      <c r="G29" s="48"/>
      <c r="H29" s="76" t="str">
        <f t="shared" si="0"/>
        <v/>
      </c>
    </row>
    <row r="30" spans="1:8" x14ac:dyDescent="0.3">
      <c r="A30" s="23"/>
      <c r="B30" s="22"/>
      <c r="C30" s="21"/>
      <c r="D30" s="19"/>
      <c r="E30" s="50"/>
      <c r="F30" s="19"/>
      <c r="G30" s="48"/>
      <c r="H30" s="76" t="str">
        <f t="shared" si="0"/>
        <v/>
      </c>
    </row>
    <row r="31" spans="1:8" x14ac:dyDescent="0.3">
      <c r="A31" s="23"/>
      <c r="B31" s="22"/>
      <c r="C31" s="24"/>
      <c r="D31" s="19"/>
      <c r="E31" s="50"/>
      <c r="F31" s="19"/>
      <c r="G31" s="48"/>
      <c r="H31" s="76" t="str">
        <f t="shared" si="0"/>
        <v/>
      </c>
    </row>
    <row r="32" spans="1:8" x14ac:dyDescent="0.3">
      <c r="A32" s="23"/>
      <c r="B32" s="56"/>
      <c r="C32" s="25"/>
      <c r="D32" s="19"/>
      <c r="E32" s="50"/>
      <c r="F32" s="19"/>
      <c r="G32" s="48"/>
      <c r="H32" s="76" t="str">
        <f t="shared" si="0"/>
        <v/>
      </c>
    </row>
    <row r="33" spans="1:8" x14ac:dyDescent="0.3">
      <c r="A33" s="26"/>
      <c r="B33" s="22"/>
      <c r="C33" s="22"/>
      <c r="D33" s="19"/>
      <c r="E33" s="50"/>
      <c r="F33" s="19"/>
      <c r="G33" s="48"/>
      <c r="H33" s="76" t="str">
        <f t="shared" si="0"/>
        <v/>
      </c>
    </row>
    <row r="34" spans="1:8" x14ac:dyDescent="0.3">
      <c r="A34" s="23"/>
      <c r="B34" s="22"/>
      <c r="C34" s="24"/>
      <c r="D34" s="19"/>
      <c r="E34" s="50"/>
      <c r="F34" s="19"/>
      <c r="G34" s="48"/>
      <c r="H34" s="76" t="str">
        <f t="shared" si="0"/>
        <v/>
      </c>
    </row>
    <row r="35" spans="1:8" x14ac:dyDescent="0.3">
      <c r="A35" s="23"/>
      <c r="B35" s="22"/>
      <c r="C35" s="24"/>
      <c r="D35" s="19"/>
      <c r="E35" s="50"/>
      <c r="F35" s="19"/>
      <c r="G35" s="48"/>
      <c r="H35" s="76" t="str">
        <f t="shared" si="0"/>
        <v/>
      </c>
    </row>
    <row r="36" spans="1:8" x14ac:dyDescent="0.3">
      <c r="A36" s="23"/>
      <c r="B36" s="22"/>
      <c r="C36" s="24"/>
      <c r="D36" s="19"/>
      <c r="E36" s="50"/>
      <c r="F36" s="19"/>
      <c r="G36" s="48"/>
      <c r="H36" s="76" t="str">
        <f t="shared" si="0"/>
        <v/>
      </c>
    </row>
    <row r="37" spans="1:8" x14ac:dyDescent="0.3">
      <c r="A37" s="23"/>
      <c r="B37" s="22"/>
      <c r="C37" s="22"/>
      <c r="D37" s="19"/>
      <c r="E37" s="50"/>
      <c r="F37" s="19"/>
      <c r="G37" s="48"/>
      <c r="H37" s="76" t="str">
        <f t="shared" si="0"/>
        <v/>
      </c>
    </row>
    <row r="38" spans="1:8" x14ac:dyDescent="0.3">
      <c r="A38" s="23"/>
      <c r="B38" s="22"/>
      <c r="C38" s="24"/>
      <c r="D38" s="19"/>
      <c r="E38" s="50"/>
      <c r="F38" s="19"/>
      <c r="G38" s="48"/>
      <c r="H38" s="76" t="str">
        <f t="shared" si="0"/>
        <v/>
      </c>
    </row>
    <row r="39" spans="1:8" x14ac:dyDescent="0.3">
      <c r="A39" s="23"/>
      <c r="B39" s="22"/>
      <c r="C39" s="24"/>
      <c r="D39" s="19"/>
      <c r="E39" s="50"/>
      <c r="F39" s="19"/>
      <c r="G39" s="48"/>
      <c r="H39" s="76" t="str">
        <f t="shared" si="0"/>
        <v/>
      </c>
    </row>
    <row r="40" spans="1:8" x14ac:dyDescent="0.3">
      <c r="A40" s="23"/>
      <c r="B40" s="22"/>
      <c r="C40" s="22"/>
      <c r="D40" s="19"/>
      <c r="E40" s="50"/>
      <c r="F40" s="19"/>
      <c r="G40" s="48"/>
      <c r="H40" s="76" t="str">
        <f t="shared" si="0"/>
        <v/>
      </c>
    </row>
    <row r="41" spans="1:8" x14ac:dyDescent="0.3">
      <c r="A41" s="23"/>
      <c r="B41" s="22"/>
      <c r="C41" s="24"/>
      <c r="D41" s="19"/>
      <c r="E41" s="50"/>
      <c r="F41" s="19"/>
      <c r="G41" s="48"/>
      <c r="H41" s="76" t="str">
        <f t="shared" si="0"/>
        <v/>
      </c>
    </row>
    <row r="42" spans="1:8" x14ac:dyDescent="0.3">
      <c r="A42" s="23"/>
      <c r="B42" s="22"/>
      <c r="C42" s="24"/>
      <c r="D42" s="19"/>
      <c r="E42" s="50"/>
      <c r="F42" s="19"/>
      <c r="G42" s="48"/>
      <c r="H42" s="76" t="str">
        <f t="shared" si="0"/>
        <v/>
      </c>
    </row>
    <row r="43" spans="1:8" x14ac:dyDescent="0.3">
      <c r="A43" s="23"/>
      <c r="B43" s="22"/>
      <c r="C43" s="22"/>
      <c r="D43" s="19"/>
      <c r="E43" s="50"/>
      <c r="F43" s="19"/>
      <c r="G43" s="48"/>
      <c r="H43" s="76" t="str">
        <f t="shared" si="0"/>
        <v/>
      </c>
    </row>
    <row r="44" spans="1:8" x14ac:dyDescent="0.3">
      <c r="A44" s="23"/>
      <c r="B44" s="22"/>
      <c r="C44" s="22"/>
      <c r="D44" s="19"/>
      <c r="E44" s="50"/>
      <c r="F44" s="19"/>
      <c r="G44" s="48"/>
      <c r="H44" s="76" t="str">
        <f t="shared" si="0"/>
        <v/>
      </c>
    </row>
    <row r="45" spans="1:8" x14ac:dyDescent="0.3">
      <c r="A45" s="23"/>
      <c r="B45" s="57"/>
      <c r="C45" s="24"/>
      <c r="D45" s="19"/>
      <c r="E45" s="47"/>
      <c r="F45" s="19"/>
      <c r="G45" s="48"/>
      <c r="H45" s="76" t="str">
        <f t="shared" si="0"/>
        <v/>
      </c>
    </row>
    <row r="46" spans="1:8" x14ac:dyDescent="0.3">
      <c r="A46" s="23"/>
      <c r="B46" s="22"/>
      <c r="C46" s="24"/>
      <c r="D46" s="19"/>
      <c r="E46" s="47"/>
      <c r="F46" s="19"/>
      <c r="G46" s="48"/>
      <c r="H46" s="76" t="str">
        <f t="shared" si="0"/>
        <v/>
      </c>
    </row>
    <row r="47" spans="1:8" x14ac:dyDescent="0.3">
      <c r="A47" s="23"/>
      <c r="B47" s="22"/>
      <c r="C47" s="24"/>
      <c r="D47" s="19"/>
      <c r="E47" s="47"/>
      <c r="F47" s="19"/>
      <c r="G47" s="48"/>
      <c r="H47" s="76" t="str">
        <f t="shared" si="0"/>
        <v/>
      </c>
    </row>
    <row r="48" spans="1:8" x14ac:dyDescent="0.3">
      <c r="A48" s="23"/>
      <c r="B48" s="22"/>
      <c r="C48" s="22"/>
      <c r="D48" s="19"/>
      <c r="E48" s="50"/>
      <c r="F48" s="19"/>
      <c r="G48" s="48"/>
      <c r="H48" s="76" t="str">
        <f t="shared" si="0"/>
        <v/>
      </c>
    </row>
    <row r="49" spans="1:8" x14ac:dyDescent="0.3">
      <c r="A49" s="23"/>
      <c r="B49" s="22"/>
      <c r="C49" s="22"/>
      <c r="D49" s="19"/>
      <c r="E49" s="50"/>
      <c r="F49" s="19"/>
      <c r="G49" s="48"/>
      <c r="H49" s="76" t="str">
        <f t="shared" si="0"/>
        <v/>
      </c>
    </row>
    <row r="50" spans="1:8" x14ac:dyDescent="0.3">
      <c r="A50" s="23"/>
      <c r="B50" s="22"/>
      <c r="C50" s="22"/>
      <c r="D50" s="19"/>
      <c r="E50" s="50"/>
      <c r="F50" s="19"/>
      <c r="G50" s="48"/>
      <c r="H50" s="76" t="str">
        <f t="shared" si="0"/>
        <v/>
      </c>
    </row>
    <row r="51" spans="1:8" x14ac:dyDescent="0.3">
      <c r="A51" s="23"/>
      <c r="B51" s="22"/>
      <c r="C51" s="22"/>
      <c r="D51" s="19"/>
      <c r="E51" s="50"/>
      <c r="F51" s="19"/>
      <c r="G51" s="48"/>
      <c r="H51" s="76" t="str">
        <f t="shared" si="0"/>
        <v/>
      </c>
    </row>
    <row r="52" spans="1:8" x14ac:dyDescent="0.3">
      <c r="A52" s="23"/>
      <c r="B52" s="22"/>
      <c r="C52" s="22"/>
      <c r="D52" s="19"/>
      <c r="E52" s="50"/>
      <c r="F52" s="19"/>
      <c r="G52" s="48"/>
      <c r="H52" s="76" t="str">
        <f t="shared" si="0"/>
        <v/>
      </c>
    </row>
    <row r="53" spans="1:8" x14ac:dyDescent="0.3">
      <c r="A53" s="23"/>
      <c r="B53" s="22"/>
      <c r="C53" s="22"/>
      <c r="D53" s="19"/>
      <c r="E53" s="50"/>
      <c r="F53" s="19"/>
      <c r="G53" s="48"/>
      <c r="H53" s="76" t="str">
        <f t="shared" si="0"/>
        <v/>
      </c>
    </row>
    <row r="54" spans="1:8" s="6" customFormat="1" x14ac:dyDescent="0.3">
      <c r="A54" s="23"/>
      <c r="B54" s="22"/>
      <c r="C54" s="24"/>
      <c r="D54" s="19"/>
      <c r="E54" s="50"/>
      <c r="F54" s="19"/>
      <c r="G54" s="48"/>
      <c r="H54" s="76" t="str">
        <f t="shared" si="0"/>
        <v/>
      </c>
    </row>
    <row r="55" spans="1:8" x14ac:dyDescent="0.3">
      <c r="A55" s="23"/>
      <c r="B55" s="22"/>
      <c r="C55" s="24"/>
      <c r="D55" s="19"/>
      <c r="E55" s="50"/>
      <c r="F55" s="19"/>
      <c r="G55" s="48"/>
      <c r="H55" s="76" t="str">
        <f t="shared" si="0"/>
        <v/>
      </c>
    </row>
    <row r="56" spans="1:8" x14ac:dyDescent="0.3">
      <c r="A56" s="23"/>
      <c r="B56" s="22"/>
      <c r="C56" s="24"/>
      <c r="D56" s="19"/>
      <c r="E56" s="50"/>
      <c r="F56" s="19"/>
      <c r="G56" s="48"/>
      <c r="H56" s="76" t="str">
        <f t="shared" si="0"/>
        <v/>
      </c>
    </row>
    <row r="57" spans="1:8" x14ac:dyDescent="0.3">
      <c r="A57" s="23"/>
      <c r="B57" s="22"/>
      <c r="C57" s="24"/>
      <c r="D57" s="19"/>
      <c r="E57" s="50"/>
      <c r="F57" s="19"/>
      <c r="G57" s="48"/>
      <c r="H57" s="76" t="str">
        <f t="shared" si="0"/>
        <v/>
      </c>
    </row>
    <row r="58" spans="1:8" x14ac:dyDescent="0.3">
      <c r="A58" s="23"/>
      <c r="B58" s="22"/>
      <c r="C58" s="24"/>
      <c r="D58" s="19"/>
      <c r="E58" s="50"/>
      <c r="F58" s="19"/>
      <c r="G58" s="48"/>
      <c r="H58" s="76" t="str">
        <f t="shared" si="0"/>
        <v/>
      </c>
    </row>
    <row r="59" spans="1:8" x14ac:dyDescent="0.3">
      <c r="A59" s="23"/>
      <c r="B59" s="22"/>
      <c r="C59" s="22"/>
      <c r="D59" s="19"/>
      <c r="E59" s="50"/>
      <c r="F59" s="19"/>
      <c r="G59" s="48"/>
      <c r="H59" s="76" t="str">
        <f t="shared" si="0"/>
        <v/>
      </c>
    </row>
    <row r="60" spans="1:8" x14ac:dyDescent="0.3">
      <c r="A60" s="23"/>
      <c r="B60" s="22"/>
      <c r="C60" s="22"/>
      <c r="D60" s="19"/>
      <c r="E60" s="50"/>
      <c r="F60" s="19"/>
      <c r="G60" s="48"/>
      <c r="H60" s="76" t="str">
        <f t="shared" si="0"/>
        <v/>
      </c>
    </row>
    <row r="61" spans="1:8" x14ac:dyDescent="0.3">
      <c r="A61" s="23"/>
      <c r="B61" s="22"/>
      <c r="C61" s="24"/>
      <c r="D61" s="19"/>
      <c r="E61" s="50"/>
      <c r="F61" s="19"/>
      <c r="G61" s="48"/>
      <c r="H61" s="76" t="str">
        <f t="shared" si="0"/>
        <v/>
      </c>
    </row>
    <row r="62" spans="1:8" x14ac:dyDescent="0.3">
      <c r="A62" s="23"/>
      <c r="B62" s="22"/>
      <c r="C62" s="24"/>
      <c r="D62" s="19"/>
      <c r="E62" s="50"/>
      <c r="F62" s="19"/>
      <c r="G62" s="48"/>
      <c r="H62" s="76" t="str">
        <f t="shared" si="0"/>
        <v/>
      </c>
    </row>
    <row r="63" spans="1:8" x14ac:dyDescent="0.3">
      <c r="A63" s="23"/>
      <c r="B63" s="22"/>
      <c r="C63" s="22"/>
      <c r="D63" s="19"/>
      <c r="E63" s="50"/>
      <c r="F63" s="19"/>
      <c r="G63" s="48"/>
      <c r="H63" s="76" t="str">
        <f t="shared" si="0"/>
        <v/>
      </c>
    </row>
    <row r="64" spans="1:8" x14ac:dyDescent="0.3">
      <c r="A64" s="23"/>
      <c r="B64" s="22"/>
      <c r="C64" s="22"/>
      <c r="D64" s="19"/>
      <c r="E64" s="50"/>
      <c r="F64" s="19"/>
      <c r="G64" s="48"/>
      <c r="H64" s="76" t="str">
        <f t="shared" si="0"/>
        <v/>
      </c>
    </row>
    <row r="65" spans="1:8" x14ac:dyDescent="0.3">
      <c r="A65" s="23"/>
      <c r="B65" s="22"/>
      <c r="C65" s="24"/>
      <c r="D65" s="19"/>
      <c r="E65" s="50"/>
      <c r="F65" s="19"/>
      <c r="G65" s="48"/>
      <c r="H65" s="76" t="str">
        <f t="shared" si="0"/>
        <v/>
      </c>
    </row>
    <row r="66" spans="1:8" x14ac:dyDescent="0.3">
      <c r="A66" s="23"/>
      <c r="B66" s="22"/>
      <c r="C66" s="24"/>
      <c r="D66" s="19"/>
      <c r="E66" s="50"/>
      <c r="F66" s="19"/>
      <c r="G66" s="48"/>
      <c r="H66" s="76" t="str">
        <f t="shared" si="0"/>
        <v/>
      </c>
    </row>
    <row r="67" spans="1:8" x14ac:dyDescent="0.3">
      <c r="A67" s="23"/>
      <c r="B67" s="22"/>
      <c r="C67" s="24"/>
      <c r="D67" s="19"/>
      <c r="E67" s="50"/>
      <c r="F67" s="19"/>
      <c r="G67" s="48"/>
      <c r="H67" s="76" t="str">
        <f t="shared" si="0"/>
        <v/>
      </c>
    </row>
    <row r="68" spans="1:8" x14ac:dyDescent="0.3">
      <c r="A68" s="23"/>
      <c r="B68" s="22"/>
      <c r="C68" s="24"/>
      <c r="D68" s="19"/>
      <c r="E68" s="50"/>
      <c r="F68" s="19"/>
      <c r="G68" s="48"/>
      <c r="H68" s="76" t="str">
        <f t="shared" si="0"/>
        <v/>
      </c>
    </row>
    <row r="69" spans="1:8" x14ac:dyDescent="0.3">
      <c r="A69" s="23"/>
      <c r="B69" s="22"/>
      <c r="C69" s="24"/>
      <c r="D69" s="19"/>
      <c r="E69" s="50"/>
      <c r="F69" s="19"/>
      <c r="G69" s="48"/>
      <c r="H69" s="76" t="str">
        <f t="shared" si="0"/>
        <v/>
      </c>
    </row>
    <row r="70" spans="1:8" x14ac:dyDescent="0.3">
      <c r="A70" s="23"/>
      <c r="B70" s="22"/>
      <c r="C70" s="24"/>
      <c r="D70" s="19"/>
      <c r="E70" s="50"/>
      <c r="F70" s="19"/>
      <c r="G70" s="48"/>
      <c r="H70" s="76" t="str">
        <f t="shared" si="0"/>
        <v/>
      </c>
    </row>
    <row r="71" spans="1:8" x14ac:dyDescent="0.3">
      <c r="A71" s="23"/>
      <c r="B71" s="22"/>
      <c r="C71" s="24"/>
      <c r="D71" s="19"/>
      <c r="E71" s="50"/>
      <c r="F71" s="19"/>
      <c r="G71" s="48"/>
      <c r="H71" s="76" t="str">
        <f t="shared" si="0"/>
        <v/>
      </c>
    </row>
    <row r="72" spans="1:8" x14ac:dyDescent="0.3">
      <c r="A72" s="23"/>
      <c r="B72" s="22"/>
      <c r="C72" s="24"/>
      <c r="D72" s="19"/>
      <c r="E72" s="50"/>
      <c r="F72" s="19"/>
      <c r="G72" s="48"/>
      <c r="H72" s="76" t="str">
        <f t="shared" si="0"/>
        <v/>
      </c>
    </row>
    <row r="73" spans="1:8" x14ac:dyDescent="0.3">
      <c r="A73" s="23"/>
      <c r="B73" s="22"/>
      <c r="C73" s="24"/>
      <c r="D73" s="19"/>
      <c r="E73" s="50"/>
      <c r="F73" s="19"/>
      <c r="G73" s="48"/>
      <c r="H73" s="76" t="str">
        <f t="shared" si="0"/>
        <v/>
      </c>
    </row>
    <row r="74" spans="1:8" x14ac:dyDescent="0.3">
      <c r="A74" s="23"/>
      <c r="B74" s="22"/>
      <c r="C74" s="24"/>
      <c r="D74" s="19"/>
      <c r="E74" s="50"/>
      <c r="F74" s="19"/>
      <c r="G74" s="48"/>
      <c r="H74" s="76" t="str">
        <f t="shared" ref="H74:H84" si="1">IF(OR(F74="REJECTED",F74="FURTHER Dev",F74="No updates needed"),"No","")</f>
        <v/>
      </c>
    </row>
    <row r="75" spans="1:8" x14ac:dyDescent="0.3">
      <c r="A75" s="23"/>
      <c r="B75" s="22"/>
      <c r="C75" s="24"/>
      <c r="D75" s="19"/>
      <c r="E75" s="50"/>
      <c r="F75" s="19"/>
      <c r="G75" s="48"/>
      <c r="H75" s="76" t="str">
        <f t="shared" si="1"/>
        <v/>
      </c>
    </row>
    <row r="76" spans="1:8" x14ac:dyDescent="0.3">
      <c r="A76" s="23"/>
      <c r="B76" s="22"/>
      <c r="C76" s="24"/>
      <c r="D76" s="19"/>
      <c r="E76" s="50"/>
      <c r="F76" s="19"/>
      <c r="G76" s="48"/>
      <c r="H76" s="76" t="str">
        <f t="shared" si="1"/>
        <v/>
      </c>
    </row>
    <row r="77" spans="1:8" x14ac:dyDescent="0.3">
      <c r="A77" s="23"/>
      <c r="B77" s="22"/>
      <c r="C77" s="24"/>
      <c r="D77" s="19"/>
      <c r="E77" s="47"/>
      <c r="F77" s="19"/>
      <c r="G77" s="48"/>
      <c r="H77" s="76" t="str">
        <f t="shared" si="1"/>
        <v/>
      </c>
    </row>
    <row r="78" spans="1:8" x14ac:dyDescent="0.3">
      <c r="A78" s="23"/>
      <c r="B78" s="22"/>
      <c r="C78" s="24"/>
      <c r="D78" s="19"/>
      <c r="E78" s="47"/>
      <c r="F78" s="19"/>
      <c r="G78" s="48"/>
      <c r="H78" s="76" t="str">
        <f t="shared" si="1"/>
        <v/>
      </c>
    </row>
    <row r="79" spans="1:8" x14ac:dyDescent="0.3">
      <c r="A79" s="23"/>
      <c r="B79" s="22"/>
      <c r="C79" s="24"/>
      <c r="D79" s="19"/>
      <c r="E79" s="47"/>
      <c r="F79" s="19"/>
      <c r="G79" s="48"/>
      <c r="H79" s="76" t="str">
        <f t="shared" si="1"/>
        <v/>
      </c>
    </row>
    <row r="80" spans="1:8" x14ac:dyDescent="0.3">
      <c r="A80" s="23"/>
      <c r="B80" s="22"/>
      <c r="C80" s="24"/>
      <c r="D80" s="19"/>
      <c r="E80" s="47"/>
      <c r="F80" s="19"/>
      <c r="G80" s="48"/>
      <c r="H80" s="76" t="str">
        <f t="shared" si="1"/>
        <v/>
      </c>
    </row>
    <row r="81" spans="1:8" x14ac:dyDescent="0.3">
      <c r="A81" s="23"/>
      <c r="B81" s="22"/>
      <c r="C81" s="24"/>
      <c r="D81" s="19"/>
      <c r="E81" s="47"/>
      <c r="F81" s="19"/>
      <c r="G81" s="48"/>
      <c r="H81" s="76" t="str">
        <f t="shared" si="1"/>
        <v/>
      </c>
    </row>
    <row r="82" spans="1:8" ht="14.5" x14ac:dyDescent="0.3">
      <c r="A82" s="23"/>
      <c r="B82" s="22"/>
      <c r="C82" s="24"/>
      <c r="D82" s="19"/>
      <c r="E82" s="51"/>
      <c r="F82" s="19"/>
      <c r="G82" s="48"/>
      <c r="H82" s="76" t="str">
        <f t="shared" si="1"/>
        <v/>
      </c>
    </row>
    <row r="83" spans="1:8" ht="14.5" x14ac:dyDescent="0.3">
      <c r="A83" s="23"/>
      <c r="B83" s="22"/>
      <c r="C83" s="24"/>
      <c r="D83" s="19"/>
      <c r="E83" s="51"/>
      <c r="F83" s="19"/>
      <c r="G83" s="48"/>
      <c r="H83" s="76" t="str">
        <f t="shared" si="1"/>
        <v/>
      </c>
    </row>
    <row r="84" spans="1:8" ht="14.5" thickBot="1" x14ac:dyDescent="0.35">
      <c r="A84" s="27"/>
      <c r="B84" s="28"/>
      <c r="C84" s="29"/>
      <c r="D84" s="30"/>
      <c r="E84" s="52"/>
      <c r="F84" s="30"/>
      <c r="G84" s="53"/>
      <c r="H84" s="77" t="str">
        <f t="shared" si="1"/>
        <v/>
      </c>
    </row>
    <row r="85" spans="1:8" x14ac:dyDescent="0.3">
      <c r="A85" s="7" t="s">
        <v>25</v>
      </c>
      <c r="B85" s="5"/>
      <c r="C85" s="5"/>
      <c r="D85" s="8"/>
      <c r="E85" s="9"/>
      <c r="F85" s="9"/>
      <c r="G85" s="9"/>
    </row>
    <row r="86" spans="1:8" x14ac:dyDescent="0.3">
      <c r="A86" s="5"/>
      <c r="B86" s="5"/>
      <c r="C86" s="5"/>
      <c r="D86" s="8"/>
      <c r="E86" s="9"/>
      <c r="F86" s="9"/>
      <c r="G86" s="9"/>
    </row>
    <row r="87" spans="1:8" x14ac:dyDescent="0.3">
      <c r="A87" s="5"/>
      <c r="B87" s="5"/>
      <c r="C87" s="5"/>
      <c r="D87" s="8"/>
      <c r="E87" s="9"/>
      <c r="F87" s="9"/>
      <c r="G87" s="9"/>
    </row>
    <row r="88" spans="1:8" x14ac:dyDescent="0.3">
      <c r="A88" s="5"/>
      <c r="B88" s="5"/>
      <c r="C88" s="5"/>
      <c r="D88" s="8"/>
      <c r="E88" s="9"/>
      <c r="F88" s="9"/>
      <c r="G88" s="9"/>
    </row>
    <row r="89" spans="1:8" x14ac:dyDescent="0.3">
      <c r="A89" s="5"/>
      <c r="B89" s="5"/>
      <c r="C89" s="5"/>
      <c r="D89" s="8"/>
      <c r="E89" s="9"/>
      <c r="F89" s="9"/>
      <c r="G89" s="9"/>
    </row>
    <row r="90" spans="1:8" x14ac:dyDescent="0.3">
      <c r="A90" s="5"/>
      <c r="B90" s="5"/>
      <c r="C90" s="5"/>
      <c r="D90" s="8"/>
      <c r="E90" s="9"/>
      <c r="F90" s="9"/>
      <c r="G90" s="9"/>
    </row>
    <row r="91" spans="1:8" x14ac:dyDescent="0.3">
      <c r="A91" s="5"/>
      <c r="B91" s="5"/>
      <c r="C91" s="5"/>
      <c r="D91" s="8"/>
      <c r="E91" s="9"/>
      <c r="F91" s="9"/>
      <c r="G91" s="9"/>
    </row>
    <row r="92" spans="1:8" x14ac:dyDescent="0.3">
      <c r="A92" s="5"/>
      <c r="B92" s="5"/>
      <c r="C92" s="5"/>
      <c r="D92" s="8"/>
      <c r="E92" s="9"/>
      <c r="F92" s="9"/>
      <c r="G92" s="9"/>
    </row>
    <row r="93" spans="1:8" x14ac:dyDescent="0.3">
      <c r="A93" s="5"/>
      <c r="B93" s="10"/>
      <c r="D93" s="9"/>
      <c r="E93" s="9"/>
      <c r="F93" s="9"/>
      <c r="G93" s="9"/>
    </row>
    <row r="94" spans="1:8" x14ac:dyDescent="0.3">
      <c r="A94" s="5"/>
      <c r="B94" s="10"/>
      <c r="D94" s="9"/>
      <c r="E94" s="9"/>
      <c r="F94" s="9"/>
      <c r="G94" s="9"/>
    </row>
    <row r="95" spans="1:8" x14ac:dyDescent="0.3">
      <c r="A95" s="10"/>
      <c r="B95" s="10"/>
      <c r="D95" s="9"/>
      <c r="E95" s="9"/>
      <c r="F95" s="9"/>
      <c r="G95" s="9"/>
    </row>
    <row r="96" spans="1:8" x14ac:dyDescent="0.3">
      <c r="A96" s="10"/>
      <c r="B96" s="10"/>
      <c r="D96" s="9"/>
      <c r="E96" s="9"/>
      <c r="F96" s="9"/>
      <c r="G96" s="9"/>
    </row>
    <row r="97" spans="1:7" x14ac:dyDescent="0.3">
      <c r="A97" s="10"/>
      <c r="B97" s="10"/>
      <c r="D97" s="9"/>
      <c r="E97" s="9"/>
      <c r="F97" s="9"/>
      <c r="G97" s="9"/>
    </row>
    <row r="98" spans="1:7" x14ac:dyDescent="0.3">
      <c r="A98" s="10"/>
      <c r="B98" s="10"/>
      <c r="D98" s="9"/>
      <c r="E98" s="9"/>
      <c r="G98" s="9"/>
    </row>
    <row r="99" spans="1:7" x14ac:dyDescent="0.3">
      <c r="A99" s="10"/>
    </row>
    <row r="100" spans="1:7" x14ac:dyDescent="0.3">
      <c r="A100" s="10"/>
    </row>
  </sheetData>
  <mergeCells count="8">
    <mergeCell ref="E6:F6"/>
    <mergeCell ref="H2:H4"/>
    <mergeCell ref="A2:B6"/>
    <mergeCell ref="A1:H1"/>
    <mergeCell ref="E2:F2"/>
    <mergeCell ref="E3:F3"/>
    <mergeCell ref="E4:F4"/>
    <mergeCell ref="E5:F5"/>
  </mergeCells>
  <phoneticPr fontId="12" type="noConversion"/>
  <conditionalFormatting sqref="C67 C39 C20">
    <cfRule type="expression" dxfId="13" priority="210" stopIfTrue="1">
      <formula>(AND($C20="Mandatory", $G20="x"))</formula>
    </cfRule>
  </conditionalFormatting>
  <conditionalFormatting sqref="F8 F19:F84">
    <cfRule type="cellIs" dxfId="12" priority="66" stopIfTrue="1" operator="equal">
      <formula>"FURTHER DEV"</formula>
    </cfRule>
    <cfRule type="cellIs" dxfId="11" priority="67" stopIfTrue="1" operator="equal">
      <formula>"ACCEPTED"</formula>
    </cfRule>
    <cfRule type="cellIs" dxfId="10" priority="68" stopIfTrue="1" operator="equal">
      <formula>"REJECTED"</formula>
    </cfRule>
    <cfRule type="cellIs" dxfId="9" priority="69" stopIfTrue="1" operator="equal">
      <formula>"CORRECTED"</formula>
    </cfRule>
  </conditionalFormatting>
  <conditionalFormatting sqref="H8:H84">
    <cfRule type="cellIs" dxfId="8" priority="13" operator="equal">
      <formula>"No"</formula>
    </cfRule>
    <cfRule type="cellIs" dxfId="7" priority="14" operator="equal">
      <formula>"Yes"</formula>
    </cfRule>
  </conditionalFormatting>
  <conditionalFormatting sqref="H8:H84">
    <cfRule type="cellIs" dxfId="6" priority="11" operator="equal">
      <formula>"Yes"</formula>
    </cfRule>
    <cfRule type="cellIs" dxfId="5" priority="12" operator="equal">
      <formula>"No"</formula>
    </cfRule>
    <cfRule type="containsBlanks" dxfId="4" priority="211">
      <formula>LEN(TRIM(H8))=0</formula>
    </cfRule>
  </conditionalFormatting>
  <conditionalFormatting sqref="F9:F17">
    <cfRule type="cellIs" dxfId="3" priority="1" stopIfTrue="1" operator="equal">
      <formula>"FURTHER DEV"</formula>
    </cfRule>
    <cfRule type="cellIs" dxfId="2" priority="2" stopIfTrue="1" operator="equal">
      <formula>"ACCEPTED"</formula>
    </cfRule>
    <cfRule type="cellIs" dxfId="1" priority="3" stopIfTrue="1" operator="equal">
      <formula>"REJECTED"</formula>
    </cfRule>
    <cfRule type="cellIs" dxfId="0" priority="4" stopIfTrue="1" operator="equal">
      <formula>"CORRECTED"</formula>
    </cfRule>
  </conditionalFormatting>
  <dataValidations count="3">
    <dataValidation type="list" allowBlank="1" showInputMessage="1" showErrorMessage="1" errorTitle="Invalid value" error="Not a valid Seriousness class!_x000d_Use drop-down list to select a correct value." sqref="D8:D84" xr:uid="{A4AF951C-168D-4D18-A167-CC530DFD8CEC}">
      <formula1>"Fatal,Medium,Neutral,No comments"</formula1>
    </dataValidation>
    <dataValidation type="list" allowBlank="1" showInputMessage="1" showErrorMessage="1" sqref="F19:F84 F8:F17" xr:uid="{1CE86421-74E8-4510-B330-62B0F5B02A82}">
      <formula1>"ACCEPTED,REJECTED,CORRECTED,FURTHER DEV,No updates needed"</formula1>
    </dataValidation>
    <dataValidation type="list" allowBlank="1" showInputMessage="1" sqref="H8:H84" xr:uid="{0E253E0D-1D2A-4F2E-8648-4436F8F3DD13}">
      <formula1>"Yes,No"</formula1>
    </dataValidation>
  </dataValidations>
  <hyperlinks>
    <hyperlink ref="E8" r:id="rId1" xr:uid="{6D682BDF-3D4C-4707-8B4F-FB7F6CFCC49B}"/>
  </hyperlinks>
  <pageMargins left="0.75" right="0.25" top="0.25" bottom="0.18" header="0.14000000000000001" footer="0.14000000000000001"/>
  <pageSetup paperSize="9" scale="81" orientation="portrait" r:id="rId2"/>
  <headerFooter alignWithMargins="0"/>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25F03-ED93-49BE-85EE-A65600F263BB}">
  <sheetPr codeName="Sheet2"/>
  <dimension ref="A1:L48"/>
  <sheetViews>
    <sheetView workbookViewId="0">
      <selection activeCell="B17" sqref="B17"/>
    </sheetView>
  </sheetViews>
  <sheetFormatPr defaultColWidth="8.7265625" defaultRowHeight="14.5" x14ac:dyDescent="0.35"/>
  <cols>
    <col min="1" max="1" width="24" style="84" bestFit="1" customWidth="1"/>
    <col min="2" max="2" width="44.1796875" style="84" customWidth="1"/>
    <col min="3" max="3" width="34.1796875" style="84" bestFit="1" customWidth="1"/>
    <col min="4" max="4" width="25.453125" style="84" customWidth="1"/>
    <col min="5" max="5" width="17.08984375" style="84" bestFit="1" customWidth="1"/>
    <col min="6" max="6" width="18.1796875" style="84" customWidth="1"/>
    <col min="7" max="7" width="28.54296875" style="84" customWidth="1"/>
    <col min="8" max="8" width="21.1796875" style="84" customWidth="1"/>
    <col min="9" max="9" width="30.54296875" style="84" bestFit="1" customWidth="1"/>
    <col min="10" max="10" width="20.453125" style="84" customWidth="1"/>
    <col min="11" max="11" width="11.54296875" style="84" bestFit="1" customWidth="1"/>
    <col min="12" max="12" width="21.453125" style="84" customWidth="1"/>
    <col min="13" max="16384" width="8.7265625" style="84"/>
  </cols>
  <sheetData>
    <row r="1" spans="1:12" x14ac:dyDescent="0.35">
      <c r="A1" s="83" t="s">
        <v>26</v>
      </c>
      <c r="B1" s="83" t="s">
        <v>27</v>
      </c>
      <c r="C1" s="83" t="s">
        <v>28</v>
      </c>
      <c r="D1" s="83" t="s">
        <v>27</v>
      </c>
      <c r="E1" s="83" t="s">
        <v>29</v>
      </c>
      <c r="F1" s="83" t="s">
        <v>27</v>
      </c>
      <c r="G1" s="83" t="s">
        <v>30</v>
      </c>
      <c r="H1" s="83" t="s">
        <v>27</v>
      </c>
      <c r="I1" s="83" t="s">
        <v>31</v>
      </c>
      <c r="J1" s="83" t="s">
        <v>27</v>
      </c>
      <c r="K1" s="83" t="s">
        <v>32</v>
      </c>
      <c r="L1" s="83" t="s">
        <v>27</v>
      </c>
    </row>
    <row r="2" spans="1:12" x14ac:dyDescent="0.35">
      <c r="A2" s="84" t="s">
        <v>93</v>
      </c>
      <c r="B2" s="88" t="s">
        <v>69</v>
      </c>
      <c r="C2" s="84" t="s">
        <v>104</v>
      </c>
      <c r="D2" s="85" t="s">
        <v>69</v>
      </c>
      <c r="E2" s="84" t="s">
        <v>129</v>
      </c>
      <c r="F2" s="85" t="s">
        <v>74</v>
      </c>
      <c r="G2" s="84" t="s">
        <v>141</v>
      </c>
      <c r="H2" s="85" t="s">
        <v>73</v>
      </c>
      <c r="I2" s="84" t="s">
        <v>150</v>
      </c>
      <c r="J2" s="85" t="s">
        <v>69</v>
      </c>
      <c r="K2" s="84" t="s">
        <v>166</v>
      </c>
      <c r="L2" s="85" t="s">
        <v>73</v>
      </c>
    </row>
    <row r="3" spans="1:12" x14ac:dyDescent="0.35">
      <c r="A3" s="84" t="s">
        <v>94</v>
      </c>
      <c r="B3" s="88" t="s">
        <v>69</v>
      </c>
      <c r="C3" s="84" t="s">
        <v>105</v>
      </c>
      <c r="D3" s="85" t="s">
        <v>69</v>
      </c>
      <c r="E3" s="84" t="s">
        <v>130</v>
      </c>
      <c r="F3" s="85" t="s">
        <v>73</v>
      </c>
      <c r="G3" s="84" t="s">
        <v>142</v>
      </c>
      <c r="H3" s="85" t="s">
        <v>74</v>
      </c>
      <c r="I3" s="84" t="s">
        <v>151</v>
      </c>
      <c r="J3" s="85" t="s">
        <v>69</v>
      </c>
      <c r="L3" s="85"/>
    </row>
    <row r="4" spans="1:12" x14ac:dyDescent="0.35">
      <c r="A4" s="84" t="s">
        <v>95</v>
      </c>
      <c r="B4" s="88" t="s">
        <v>69</v>
      </c>
      <c r="C4" s="84" t="s">
        <v>106</v>
      </c>
      <c r="D4" s="85" t="s">
        <v>69</v>
      </c>
      <c r="E4" s="84" t="s">
        <v>131</v>
      </c>
      <c r="F4" s="85" t="s">
        <v>74</v>
      </c>
      <c r="G4" s="84" t="s">
        <v>143</v>
      </c>
      <c r="H4" s="85" t="s">
        <v>75</v>
      </c>
      <c r="I4" s="84" t="s">
        <v>152</v>
      </c>
      <c r="J4" s="85" t="s">
        <v>69</v>
      </c>
    </row>
    <row r="5" spans="1:12" x14ac:dyDescent="0.35">
      <c r="A5" s="84" t="s">
        <v>96</v>
      </c>
      <c r="B5" s="88" t="s">
        <v>69</v>
      </c>
      <c r="C5" s="84" t="s">
        <v>107</v>
      </c>
      <c r="D5" s="85" t="s">
        <v>69</v>
      </c>
      <c r="E5" s="84" t="s">
        <v>132</v>
      </c>
      <c r="F5" s="85" t="s">
        <v>74</v>
      </c>
      <c r="G5" s="84" t="s">
        <v>144</v>
      </c>
      <c r="H5" s="86" t="s">
        <v>73</v>
      </c>
      <c r="I5" s="84" t="s">
        <v>153</v>
      </c>
      <c r="J5" s="85" t="s">
        <v>69</v>
      </c>
    </row>
    <row r="6" spans="1:12" x14ac:dyDescent="0.35">
      <c r="A6" s="84" t="s">
        <v>97</v>
      </c>
      <c r="B6" s="88" t="s">
        <v>69</v>
      </c>
      <c r="C6" s="84" t="s">
        <v>108</v>
      </c>
      <c r="D6" s="85" t="s">
        <v>69</v>
      </c>
      <c r="E6" s="84" t="s">
        <v>133</v>
      </c>
      <c r="F6" s="85" t="s">
        <v>74</v>
      </c>
      <c r="G6" s="84" t="s">
        <v>145</v>
      </c>
      <c r="H6" s="88" t="s">
        <v>69</v>
      </c>
      <c r="I6" s="84" t="s">
        <v>154</v>
      </c>
      <c r="J6" s="85" t="s">
        <v>69</v>
      </c>
    </row>
    <row r="7" spans="1:12" x14ac:dyDescent="0.35">
      <c r="A7" s="84" t="s">
        <v>98</v>
      </c>
      <c r="B7" s="88" t="s">
        <v>69</v>
      </c>
      <c r="C7" s="84" t="s">
        <v>109</v>
      </c>
      <c r="D7" s="85" t="s">
        <v>69</v>
      </c>
      <c r="E7" s="84" t="s">
        <v>134</v>
      </c>
      <c r="F7" s="85" t="s">
        <v>74</v>
      </c>
      <c r="G7" s="84" t="s">
        <v>146</v>
      </c>
      <c r="H7" s="85" t="s">
        <v>76</v>
      </c>
      <c r="I7" s="84" t="s">
        <v>155</v>
      </c>
      <c r="J7" s="85" t="s">
        <v>69</v>
      </c>
    </row>
    <row r="8" spans="1:12" x14ac:dyDescent="0.35">
      <c r="A8" s="84" t="s">
        <v>99</v>
      </c>
      <c r="B8" s="88" t="s">
        <v>69</v>
      </c>
      <c r="C8" s="84" t="s">
        <v>110</v>
      </c>
      <c r="D8" s="85" t="s">
        <v>69</v>
      </c>
      <c r="E8" s="84" t="s">
        <v>135</v>
      </c>
      <c r="F8" s="85" t="s">
        <v>74</v>
      </c>
      <c r="G8" s="84" t="s">
        <v>147</v>
      </c>
      <c r="H8" s="85" t="s">
        <v>71</v>
      </c>
      <c r="I8" s="84" t="s">
        <v>156</v>
      </c>
      <c r="J8" s="85" t="s">
        <v>69</v>
      </c>
    </row>
    <row r="9" spans="1:12" x14ac:dyDescent="0.35">
      <c r="A9" s="84" t="s">
        <v>100</v>
      </c>
      <c r="B9" s="88" t="s">
        <v>69</v>
      </c>
      <c r="C9" s="84" t="s">
        <v>111</v>
      </c>
      <c r="D9" s="85" t="s">
        <v>69</v>
      </c>
      <c r="E9" s="84" t="s">
        <v>136</v>
      </c>
      <c r="F9" s="85" t="s">
        <v>72</v>
      </c>
      <c r="G9" s="84" t="s">
        <v>148</v>
      </c>
      <c r="H9" s="85" t="s">
        <v>70</v>
      </c>
      <c r="I9" s="84" t="s">
        <v>157</v>
      </c>
      <c r="J9" s="85" t="s">
        <v>69</v>
      </c>
    </row>
    <row r="10" spans="1:12" x14ac:dyDescent="0.35">
      <c r="A10" s="84" t="s">
        <v>101</v>
      </c>
      <c r="B10" s="88" t="s">
        <v>69</v>
      </c>
      <c r="C10" s="84" t="s">
        <v>112</v>
      </c>
      <c r="D10" s="85" t="s">
        <v>69</v>
      </c>
      <c r="E10" s="84" t="s">
        <v>137</v>
      </c>
      <c r="F10" s="85" t="s">
        <v>89</v>
      </c>
      <c r="G10" s="84" t="s">
        <v>149</v>
      </c>
      <c r="H10" s="85" t="s">
        <v>76</v>
      </c>
      <c r="I10" s="84" t="s">
        <v>158</v>
      </c>
      <c r="J10" s="88" t="s">
        <v>69</v>
      </c>
    </row>
    <row r="11" spans="1:12" x14ac:dyDescent="0.35">
      <c r="A11" s="84" t="s">
        <v>102</v>
      </c>
      <c r="B11" s="88" t="s">
        <v>69</v>
      </c>
      <c r="C11" s="84" t="s">
        <v>113</v>
      </c>
      <c r="D11" s="85" t="s">
        <v>69</v>
      </c>
      <c r="E11" s="84" t="s">
        <v>138</v>
      </c>
      <c r="F11" s="85" t="s">
        <v>88</v>
      </c>
      <c r="I11" s="84" t="s">
        <v>159</v>
      </c>
      <c r="J11" s="85" t="s">
        <v>69</v>
      </c>
    </row>
    <row r="12" spans="1:12" x14ac:dyDescent="0.35">
      <c r="A12" s="84" t="s">
        <v>103</v>
      </c>
      <c r="B12" s="85" t="s">
        <v>70</v>
      </c>
      <c r="C12" s="84" t="s">
        <v>114</v>
      </c>
      <c r="D12" s="85" t="s">
        <v>69</v>
      </c>
      <c r="E12" s="84" t="s">
        <v>139</v>
      </c>
      <c r="F12" s="85" t="s">
        <v>87</v>
      </c>
      <c r="I12" s="84" t="s">
        <v>160</v>
      </c>
      <c r="J12" s="85" t="s">
        <v>69</v>
      </c>
    </row>
    <row r="13" spans="1:12" x14ac:dyDescent="0.35">
      <c r="C13" s="84" t="s">
        <v>115</v>
      </c>
      <c r="D13" s="85" t="s">
        <v>69</v>
      </c>
      <c r="E13" s="84" t="s">
        <v>140</v>
      </c>
      <c r="F13" s="85" t="s">
        <v>70</v>
      </c>
      <c r="I13" s="84" t="s">
        <v>161</v>
      </c>
      <c r="J13" s="85" t="s">
        <v>69</v>
      </c>
    </row>
    <row r="14" spans="1:12" x14ac:dyDescent="0.35">
      <c r="C14" s="84" t="s">
        <v>116</v>
      </c>
      <c r="D14" s="85" t="s">
        <v>69</v>
      </c>
      <c r="I14" s="84" t="s">
        <v>162</v>
      </c>
      <c r="J14" s="85" t="s">
        <v>69</v>
      </c>
    </row>
    <row r="15" spans="1:12" x14ac:dyDescent="0.35">
      <c r="C15" s="84" t="s">
        <v>117</v>
      </c>
      <c r="D15" s="85" t="s">
        <v>69</v>
      </c>
      <c r="I15" s="84" t="s">
        <v>163</v>
      </c>
      <c r="J15" s="85" t="s">
        <v>76</v>
      </c>
    </row>
    <row r="16" spans="1:12" ht="14.5" customHeight="1" x14ac:dyDescent="0.35">
      <c r="C16" s="84" t="s">
        <v>118</v>
      </c>
      <c r="D16" s="85" t="s">
        <v>69</v>
      </c>
      <c r="I16" s="84" t="s">
        <v>164</v>
      </c>
      <c r="J16" s="85" t="s">
        <v>70</v>
      </c>
    </row>
    <row r="17" spans="1:11" x14ac:dyDescent="0.35">
      <c r="A17" s="87"/>
      <c r="B17" s="87"/>
      <c r="C17" s="84" t="s">
        <v>119</v>
      </c>
      <c r="D17" s="85" t="s">
        <v>69</v>
      </c>
      <c r="E17" s="87"/>
      <c r="F17" s="87"/>
      <c r="G17" s="87"/>
      <c r="H17" s="87"/>
      <c r="I17" s="84" t="s">
        <v>165</v>
      </c>
      <c r="J17" s="85" t="s">
        <v>70</v>
      </c>
      <c r="K17" s="87"/>
    </row>
    <row r="18" spans="1:11" x14ac:dyDescent="0.35">
      <c r="C18" s="84" t="s">
        <v>120</v>
      </c>
      <c r="D18" s="88" t="s">
        <v>69</v>
      </c>
    </row>
    <row r="19" spans="1:11" x14ac:dyDescent="0.35">
      <c r="C19" s="84" t="s">
        <v>121</v>
      </c>
      <c r="D19" s="85" t="s">
        <v>70</v>
      </c>
    </row>
    <row r="20" spans="1:11" x14ac:dyDescent="0.35">
      <c r="C20" s="84" t="s">
        <v>122</v>
      </c>
      <c r="D20" s="85" t="s">
        <v>70</v>
      </c>
    </row>
    <row r="21" spans="1:11" x14ac:dyDescent="0.35">
      <c r="C21" s="84" t="s">
        <v>123</v>
      </c>
      <c r="D21" s="85" t="s">
        <v>71</v>
      </c>
    </row>
    <row r="22" spans="1:11" ht="14.5" customHeight="1" x14ac:dyDescent="0.35">
      <c r="C22" s="84" t="s">
        <v>124</v>
      </c>
      <c r="D22" s="85" t="s">
        <v>70</v>
      </c>
    </row>
    <row r="23" spans="1:11" ht="14.5" customHeight="1" x14ac:dyDescent="0.35">
      <c r="C23" s="84" t="s">
        <v>125</v>
      </c>
      <c r="D23" s="85" t="s">
        <v>72</v>
      </c>
    </row>
    <row r="24" spans="1:11" x14ac:dyDescent="0.35">
      <c r="C24" s="84" t="s">
        <v>126</v>
      </c>
      <c r="D24" s="85" t="s">
        <v>70</v>
      </c>
    </row>
    <row r="25" spans="1:11" x14ac:dyDescent="0.35">
      <c r="C25" s="84" t="s">
        <v>127</v>
      </c>
      <c r="D25" s="85" t="s">
        <v>70</v>
      </c>
    </row>
    <row r="26" spans="1:11" x14ac:dyDescent="0.35">
      <c r="C26" s="84" t="s">
        <v>128</v>
      </c>
      <c r="D26" s="85" t="s">
        <v>70</v>
      </c>
    </row>
    <row r="29" spans="1:11" x14ac:dyDescent="0.35">
      <c r="A29" s="83" t="s">
        <v>33</v>
      </c>
      <c r="E29" s="129" t="s">
        <v>34</v>
      </c>
      <c r="F29" s="130"/>
      <c r="G29" s="130"/>
    </row>
    <row r="30" spans="1:11" x14ac:dyDescent="0.35">
      <c r="A30" s="84" t="s">
        <v>26</v>
      </c>
      <c r="B30" s="88" t="s">
        <v>69</v>
      </c>
      <c r="E30" s="130"/>
      <c r="F30" s="130"/>
      <c r="G30" s="130"/>
    </row>
    <row r="31" spans="1:11" x14ac:dyDescent="0.35">
      <c r="A31" s="84" t="s">
        <v>28</v>
      </c>
      <c r="B31" s="88" t="s">
        <v>69</v>
      </c>
      <c r="E31" s="130"/>
      <c r="F31" s="130"/>
      <c r="G31" s="130"/>
    </row>
    <row r="32" spans="1:11" x14ac:dyDescent="0.35">
      <c r="A32" s="84" t="s">
        <v>29</v>
      </c>
      <c r="B32" s="88" t="s">
        <v>69</v>
      </c>
      <c r="E32" s="130"/>
      <c r="F32" s="130"/>
      <c r="G32" s="130"/>
    </row>
    <row r="33" spans="1:7" x14ac:dyDescent="0.35">
      <c r="A33" s="84" t="s">
        <v>30</v>
      </c>
      <c r="B33" s="88" t="s">
        <v>69</v>
      </c>
      <c r="E33" s="130"/>
      <c r="F33" s="130"/>
      <c r="G33" s="130"/>
    </row>
    <row r="34" spans="1:7" x14ac:dyDescent="0.35">
      <c r="A34" s="84" t="s">
        <v>31</v>
      </c>
      <c r="B34" s="88" t="s">
        <v>69</v>
      </c>
      <c r="E34" s="130"/>
      <c r="F34" s="130"/>
      <c r="G34" s="130"/>
    </row>
    <row r="35" spans="1:7" x14ac:dyDescent="0.35">
      <c r="A35" s="84" t="s">
        <v>35</v>
      </c>
      <c r="B35" s="88" t="s">
        <v>69</v>
      </c>
    </row>
    <row r="36" spans="1:7" x14ac:dyDescent="0.35">
      <c r="A36" s="84" t="s">
        <v>36</v>
      </c>
      <c r="B36" s="88" t="s">
        <v>69</v>
      </c>
    </row>
    <row r="39" spans="1:7" x14ac:dyDescent="0.35">
      <c r="A39" s="83" t="s">
        <v>37</v>
      </c>
    </row>
    <row r="40" spans="1:7" x14ac:dyDescent="0.35">
      <c r="A40" s="84" t="s">
        <v>38</v>
      </c>
      <c r="B40" s="88" t="s">
        <v>69</v>
      </c>
    </row>
    <row r="41" spans="1:7" x14ac:dyDescent="0.35">
      <c r="A41" s="84" t="s">
        <v>39</v>
      </c>
      <c r="B41" s="88" t="s">
        <v>69</v>
      </c>
    </row>
    <row r="42" spans="1:7" x14ac:dyDescent="0.35">
      <c r="A42" s="84" t="s">
        <v>77</v>
      </c>
      <c r="B42" s="88" t="s">
        <v>69</v>
      </c>
    </row>
    <row r="43" spans="1:7" x14ac:dyDescent="0.35">
      <c r="A43" s="84" t="s">
        <v>78</v>
      </c>
      <c r="B43" s="88" t="s">
        <v>69</v>
      </c>
    </row>
    <row r="44" spans="1:7" x14ac:dyDescent="0.35">
      <c r="A44" s="84" t="s">
        <v>79</v>
      </c>
      <c r="B44" s="88" t="s">
        <v>69</v>
      </c>
    </row>
    <row r="45" spans="1:7" x14ac:dyDescent="0.35">
      <c r="A45" s="84" t="s">
        <v>80</v>
      </c>
      <c r="B45" s="88" t="s">
        <v>69</v>
      </c>
    </row>
    <row r="46" spans="1:7" x14ac:dyDescent="0.35">
      <c r="A46" s="84" t="s">
        <v>81</v>
      </c>
      <c r="B46" s="88" t="s">
        <v>69</v>
      </c>
    </row>
    <row r="47" spans="1:7" x14ac:dyDescent="0.35">
      <c r="A47" s="84" t="s">
        <v>82</v>
      </c>
      <c r="B47" s="88" t="s">
        <v>69</v>
      </c>
    </row>
    <row r="48" spans="1:7" x14ac:dyDescent="0.35">
      <c r="A48" s="84" t="s">
        <v>83</v>
      </c>
      <c r="B48" s="88" t="s">
        <v>69</v>
      </c>
    </row>
  </sheetData>
  <sortState xmlns:xlrd2="http://schemas.microsoft.com/office/spreadsheetml/2017/richdata2" ref="I15:J16">
    <sortCondition ref="I15:I16"/>
  </sortState>
  <mergeCells count="1">
    <mergeCell ref="E29:G34"/>
  </mergeCells>
  <phoneticPr fontId="12" type="noConversion"/>
  <hyperlinks>
    <hyperlink ref="B2" r:id="rId1" xr:uid="{DB04CEE7-1BDF-4392-9EC3-CBEFB04E071C}"/>
    <hyperlink ref="B12" r:id="rId2" display="akash.2.dutta@nokia.com" xr:uid="{8B0A84CF-AD5D-4865-A03F-41ADC71E91A0}"/>
    <hyperlink ref="D21" r:id="rId3" display="natalia.lewkow-pankiewicz@nokia.com" xr:uid="{C3F2B9DB-6699-4037-A2DB-A0501B2101AD}"/>
    <hyperlink ref="D23" r:id="rId4" display="john.torregoza@nokia.com; " xr:uid="{1882FB44-20C9-4B58-9CF4-85B9D14B10E0}"/>
    <hyperlink ref="D22" r:id="rId5" display="krzysztof.tatarczyk@nokia.com" xr:uid="{CB8435F7-6DCD-4237-856B-4F845DEE6425}"/>
    <hyperlink ref="J15" r:id="rId6" display="sridhar.jayaraman@nokia.com" xr:uid="{C345EC35-5175-4B10-B270-E1896DC1A103}"/>
    <hyperlink ref="D26" r:id="rId7" display="armin.splett@nokia.com" xr:uid="{23103AA0-4052-4401-809B-9068D17393D1}"/>
    <hyperlink ref="F9" r:id="rId8" display="maciej.krysmalski@nokia.com" xr:uid="{AA878E85-9E69-455B-92F2-008738BD934C}"/>
    <hyperlink ref="F11" r:id="rId9" display="raghuram.krishnamurthy@nokia.com" xr:uid="{EA64F197-00DA-4E1A-861A-788F3D568530}"/>
    <hyperlink ref="F12" r:id="rId10" display="carolin.huppert@nokia.com; " xr:uid="{1CA0964B-60D9-4D26-9570-F70BD52B6BE8}"/>
    <hyperlink ref="F10" r:id="rId11" display="jouni.rytkonen@nokia.com;" xr:uid="{37B1B48D-0D3F-412D-AD76-4538D439285D}"/>
    <hyperlink ref="F3" r:id="rId12" display="matthias.litzka@nokia.com; " xr:uid="{5AD5B40E-B23F-41A3-B125-34FBC8993E07}"/>
    <hyperlink ref="H3" r:id="rId13" display="xueli.zhang@nokia-sbell.com; " xr:uid="{997F3C8A-E536-42A1-9284-8896E8D924B3}"/>
    <hyperlink ref="H2" r:id="rId14" display="minna.komulainen@nokia.com;" xr:uid="{2D49449C-A8A1-4EFE-ABD2-7C47D5B05B5F}"/>
    <hyperlink ref="H5" r:id="rId15" display="minna.komulainen@nokia.com;" xr:uid="{520EFAC5-53EA-4C01-8417-30BFAB05F2B7}"/>
    <hyperlink ref="H4" r:id="rId16" display="xueli.zhang@nokia-sbell.com; " xr:uid="{9D99D85F-4862-433A-8D6B-F4A65ED6EC27}"/>
    <hyperlink ref="H7" r:id="rId17" display="asko.vaaraniemi@nokia.com" xr:uid="{75890EEA-FA46-4F5A-8FB3-1743A1D33A51}"/>
    <hyperlink ref="H8" r:id="rId18" display="fabrice.scarazzini@nokia.com" xr:uid="{B729205F-BD04-402F-A969-01B12006F788}"/>
    <hyperlink ref="H9" r:id="rId19" display="mostafa.mohamed@nokia.com" xr:uid="{C49A1AE0-5725-49C8-A9AD-B2506FC9BA57}"/>
    <hyperlink ref="L2" r:id="rId20" display="lalit.mamtani@nokia.com; Zhu, Xiaoqiang (NSB - CN/Nanjing)" xr:uid="{3CEBCEDC-9C87-4342-9721-9D9D05D1677D}"/>
    <hyperlink ref="J16" r:id="rId21" display="sanjaya.joshi@nokia.com" xr:uid="{A49AAB52-A7F2-4D95-BB2C-0D7C2E9A3FD9}"/>
    <hyperlink ref="D25" r:id="rId22" display="xiaoqiang.zhu@nokia-sbell.com" xr:uid="{B2AF7F73-AF87-483E-A49C-35B2DB99C335}"/>
    <hyperlink ref="H10" r:id="rId23" display="xiaoqiang.zhu@nokia-sbell.com" xr:uid="{F43FF76B-05A0-4AB3-A440-B42EF0CB2C17}"/>
    <hyperlink ref="D24" r:id="rId24" display="sanjaya.joshi@nokia.com" xr:uid="{E0FD3E14-6078-475B-B678-F74A82631B36}"/>
    <hyperlink ref="D20" r:id="rId25" display="natalia.lewkow-pankiewicz@nokia.com" xr:uid="{A42E7179-7D9C-40D2-B440-BAD584CE981B}"/>
    <hyperlink ref="D19" r:id="rId26" display="akash.2.dutta@nokia.com" xr:uid="{EACE573C-29ED-4984-A994-05E362063C6C}"/>
    <hyperlink ref="H6" r:id="rId27" xr:uid="{4F880C74-BBCA-4B21-8048-6B872A303C77}"/>
    <hyperlink ref="B3:B11" r:id="rId28" display="xyz@nokia.com" xr:uid="{30385ABE-D6E8-4DB8-AAD6-31751091B22B}"/>
    <hyperlink ref="B11" r:id="rId29" xr:uid="{1FA2A6B7-1EEA-4A20-9F7E-8DAB801487D2}"/>
    <hyperlink ref="D18" r:id="rId30" xr:uid="{96665C30-51A9-40C7-8431-639F1833960E}"/>
    <hyperlink ref="J10" r:id="rId31" xr:uid="{7FE773A4-1643-457C-9788-3BE78FB70D8C}"/>
    <hyperlink ref="J17" r:id="rId32" display="sanjaya.joshi@nokia.com" xr:uid="{9C1BBAD0-EBF7-49D2-85D1-6EA3C481BB56}"/>
    <hyperlink ref="F2" r:id="rId33" display="xueli.zhang@nokia-sbell.com; " xr:uid="{0AD2CC4C-1737-4510-A6D9-B9E18F7AA4D6}"/>
    <hyperlink ref="F4" r:id="rId34" display="xueli.zhang@nokia-sbell.com; " xr:uid="{D5E82123-2863-4A5E-88A2-9CC29138E129}"/>
    <hyperlink ref="F5" r:id="rId35" display="xueli.zhang@nokia-sbell.com; " xr:uid="{5E721CD4-385E-4E79-99F5-19FC3278BE35}"/>
    <hyperlink ref="F6" r:id="rId36" display="xueli.zhang@nokia-sbell.com; " xr:uid="{8315764C-7459-424E-B4FC-48C5C486E97C}"/>
    <hyperlink ref="F7" r:id="rId37" display="xueli.zhang@nokia-sbell.com; " xr:uid="{7CAFA37D-7320-4CCF-9978-32EB2A09482E}"/>
    <hyperlink ref="F8" r:id="rId38" display="xueli.zhang@nokia-sbell.com; " xr:uid="{AAFD0E85-A352-4B98-B2EE-26141EF324C0}"/>
    <hyperlink ref="F13" r:id="rId39" display="sanjaya.joshi@nokia.com" xr:uid="{0F274940-E531-4A59-91B0-D6F1E2734232}"/>
    <hyperlink ref="B30" r:id="rId40" xr:uid="{59B9F6D8-CCFF-4E69-8B8D-B3EDA822C98A}"/>
    <hyperlink ref="B31:B36" r:id="rId41" display="xyz@nokia.com" xr:uid="{2F29E8DF-E15A-40AA-88AF-5DC9C3D38236}"/>
    <hyperlink ref="B40:B48" r:id="rId42" display="xyz@nokia.com" xr:uid="{83162F94-8AF3-4FA4-865E-97EFD7134DDD}"/>
  </hyperlinks>
  <pageMargins left="0.7" right="0.7" top="0.75" bottom="0.75" header="0.3" footer="0.3"/>
  <pageSetup paperSize="9" orientation="portrait" r:id="rId43"/>
  <drawing r:id="rId4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C2B21-5664-4AC1-9DE3-13D11EAF253E}">
  <sheetPr codeName="Sheet3"/>
  <dimension ref="A1:A7"/>
  <sheetViews>
    <sheetView workbookViewId="0"/>
  </sheetViews>
  <sheetFormatPr defaultRowHeight="14.5" x14ac:dyDescent="0.35"/>
  <sheetData>
    <row r="1" spans="1:1" x14ac:dyDescent="0.35">
      <c r="A1" t="s">
        <v>40</v>
      </c>
    </row>
    <row r="2" spans="1:1" x14ac:dyDescent="0.35">
      <c r="A2" t="s">
        <v>84</v>
      </c>
    </row>
    <row r="3" spans="1:1" x14ac:dyDescent="0.35">
      <c r="A3" t="s">
        <v>41</v>
      </c>
    </row>
    <row r="4" spans="1:1" x14ac:dyDescent="0.35">
      <c r="A4" t="s">
        <v>85</v>
      </c>
    </row>
    <row r="5" spans="1:1" x14ac:dyDescent="0.35">
      <c r="A5" t="s">
        <v>86</v>
      </c>
    </row>
    <row r="6" spans="1:1" x14ac:dyDescent="0.35">
      <c r="A6" t="s">
        <v>66</v>
      </c>
    </row>
    <row r="7" spans="1:1" x14ac:dyDescent="0.35">
      <c r="A7" t="s">
        <v>42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haredContentType xmlns="Microsoft.SharePoint.Taxonomy.ContentTypeSync" SourceId="34c87397-5fc1-491e-85e7-d6110dbe9cbd" ContentTypeId="0x0101" PreviousValue="false"/>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SharedWithUsers xmlns="8376696b-01bc-4451-8dd2-77c323e19ccf">
      <UserInfo>
        <DisplayName>Ojha, Aditya (Nokia - IN/Bangalore)</DisplayName>
        <AccountId>456</AccountId>
        <AccountType/>
      </UserInfo>
    </SharedWithUsers>
    <_dlc_DocId xmlns="71c5aaf6-e6ce-465b-b873-5148d2a4c105">B5I3P5PIPTL2-1364259282-148</_dlc_DocId>
    <_dlc_DocIdUrl xmlns="71c5aaf6-e6ce-465b-b873-5148d2a4c105">
      <Url>https://nokia.sharepoint.com/sites/ASCOP/_layouts/15/DocIdRedir.aspx?ID=B5I3P5PIPTL2-1364259282-148</Url>
      <Description>B5I3P5PIPTL2-1364259282-148</Description>
    </_dlc_DocIdUrl>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AC1A3B6D13FA9240AB8BEA6D944D73F6" ma:contentTypeVersion="31" ma:contentTypeDescription="Create a new document." ma:contentTypeScope="" ma:versionID="f90c311a8efb69072f94650aca0fe6a8">
  <xsd:schema xmlns:xsd="http://www.w3.org/2001/XMLSchema" xmlns:xs="http://www.w3.org/2001/XMLSchema" xmlns:p="http://schemas.microsoft.com/office/2006/metadata/properties" xmlns:ns2="71c5aaf6-e6ce-465b-b873-5148d2a4c105" xmlns:ns3="c14a4440-73a2-474e-8973-fa4ec7e235c7" xmlns:ns4="8376696b-01bc-4451-8dd2-77c323e19ccf" targetNamespace="http://schemas.microsoft.com/office/2006/metadata/properties" ma:root="true" ma:fieldsID="8147bccff8e4bfd2105b9c7af082e292" ns2:_="" ns3:_="" ns4:_="">
    <xsd:import namespace="71c5aaf6-e6ce-465b-b873-5148d2a4c105"/>
    <xsd:import namespace="c14a4440-73a2-474e-8973-fa4ec7e235c7"/>
    <xsd:import namespace="8376696b-01bc-4451-8dd2-77c323e19ccf"/>
    <xsd:element name="properties">
      <xsd:complexType>
        <xsd:sequence>
          <xsd:element name="documentManagement">
            <xsd:complexType>
              <xsd:all>
                <xsd:element ref="ns2:_dlc_DocId" minOccurs="0"/>
                <xsd:element ref="ns2:_dlc_DocIdUrl" minOccurs="0"/>
                <xsd:element ref="ns2:_dlc_DocIdPersistId" minOccurs="0"/>
                <xsd:element ref="ns2:HideFromDelve" minOccurs="0"/>
                <xsd:element ref="ns3:MediaServiceFastMetadata" minOccurs="0"/>
                <xsd:element ref="ns4:SharedWithUsers" minOccurs="0"/>
                <xsd:element ref="ns4:SharedWithDetails" minOccurs="0"/>
                <xsd:element ref="ns3:MediaServiceMetadata" minOccurs="0"/>
                <xsd:element ref="ns3:MediaServiceDateTake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HideFromDelve" ma:index="11" nillable="true" ma:displayName="HideFromDelve" ma:default="0" ma:internalName="HideFromDelv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14a4440-73a2-474e-8973-fa4ec7e235c7" elementFormDefault="qualified">
    <xsd:import namespace="http://schemas.microsoft.com/office/2006/documentManagement/types"/>
    <xsd:import namespace="http://schemas.microsoft.com/office/infopath/2007/PartnerControls"/>
    <xsd:element name="MediaServiceFastMetadata" ma:index="12" nillable="true" ma:displayName="MediaServiceFastMetadata" ma:hidden="true" ma:internalName="MediaServiceFastMetadata" ma:readOnly="true">
      <xsd:simpleType>
        <xsd:restriction base="dms:Note"/>
      </xsd:simpleType>
    </xsd:element>
    <xsd:element name="MediaServiceMetadata" ma:index="15" nillable="true" ma:displayName="MediaServiceMetadata" ma:hidden="true" ma:internalName="MediaServiceMetadata" ma:readOnly="true">
      <xsd:simpleType>
        <xsd:restriction base="dms:Note"/>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376696b-01bc-4451-8dd2-77c323e19ccf"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04B8FC-FC03-4624-AC1D-9D70342E90DA}">
  <ds:schemaRefs>
    <ds:schemaRef ds:uri="Microsoft.SharePoint.Taxonomy.ContentTypeSync"/>
  </ds:schemaRefs>
</ds:datastoreItem>
</file>

<file path=customXml/itemProps2.xml><?xml version="1.0" encoding="utf-8"?>
<ds:datastoreItem xmlns:ds="http://schemas.openxmlformats.org/officeDocument/2006/customXml" ds:itemID="{7A41F64B-CF5E-43D4-904D-4D04A3C5B716}">
  <ds:schemaRefs>
    <ds:schemaRef ds:uri="http://schemas.microsoft.com/sharepoint/events"/>
  </ds:schemaRefs>
</ds:datastoreItem>
</file>

<file path=customXml/itemProps3.xml><?xml version="1.0" encoding="utf-8"?>
<ds:datastoreItem xmlns:ds="http://schemas.openxmlformats.org/officeDocument/2006/customXml" ds:itemID="{2EB50C81-13C7-4B35-A9B9-2CF2FA1EBB2F}">
  <ds:schemaRefs>
    <ds:schemaRef ds:uri="http://schemas.microsoft.com/sharepoint/v3/contenttype/forms"/>
  </ds:schemaRefs>
</ds:datastoreItem>
</file>

<file path=customXml/itemProps4.xml><?xml version="1.0" encoding="utf-8"?>
<ds:datastoreItem xmlns:ds="http://schemas.openxmlformats.org/officeDocument/2006/customXml" ds:itemID="{163E8F3D-9DDE-416B-9B4C-F0887D309FC8}">
  <ds:schemaRefs>
    <ds:schemaRef ds:uri="http://schemas.microsoft.com/office/2006/metadata/properties"/>
    <ds:schemaRef ds:uri="http://schemas.microsoft.com/office/infopath/2007/PartnerControls"/>
    <ds:schemaRef ds:uri="71c5aaf6-e6ce-465b-b873-5148d2a4c105"/>
    <ds:schemaRef ds:uri="8376696b-01bc-4451-8dd2-77c323e19ccf"/>
  </ds:schemaRefs>
</ds:datastoreItem>
</file>

<file path=customXml/itemProps5.xml><?xml version="1.0" encoding="utf-8"?>
<ds:datastoreItem xmlns:ds="http://schemas.openxmlformats.org/officeDocument/2006/customXml" ds:itemID="{321DF658-D8D0-4BF1-B70A-53753ED231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c5aaf6-e6ce-465b-b873-5148d2a4c105"/>
    <ds:schemaRef ds:uri="c14a4440-73a2-474e-8973-fa4ec7e235c7"/>
    <ds:schemaRef ds:uri="8376696b-01bc-4451-8dd2-77c323e19cc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b1aa2129-79ec-42c0-bfac-e5b7a0374572}" enabled="1" method="Privileged" siteId="{5d471751-9675-428d-917b-70f44f9630b0}"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41</vt:i4>
      </vt:variant>
    </vt:vector>
  </HeadingPairs>
  <TitlesOfParts>
    <vt:vector size="45" baseType="lpstr">
      <vt:lpstr>Reviewers</vt:lpstr>
      <vt:lpstr>Review Findings</vt:lpstr>
      <vt:lpstr>Data</vt:lpstr>
      <vt:lpstr>Format</vt:lpstr>
      <vt:lpstr>Agreed</vt:lpstr>
      <vt:lpstr>APO</vt:lpstr>
      <vt:lpstr>Cloud</vt:lpstr>
      <vt:lpstr>Cloud_RA</vt:lpstr>
      <vt:lpstr>CorrectionStatus</vt:lpstr>
      <vt:lpstr>CREnd</vt:lpstr>
      <vt:lpstr>CRev</vt:lpstr>
      <vt:lpstr>FCat</vt:lpstr>
      <vt:lpstr>Findings</vt:lpstr>
      <vt:lpstr>FOwner</vt:lpstr>
      <vt:lpstr>FST</vt:lpstr>
      <vt:lpstr>FTitle</vt:lpstr>
      <vt:lpstr>Guard</vt:lpstr>
      <vt:lpstr>LRAL</vt:lpstr>
      <vt:lpstr>NAct</vt:lpstr>
      <vt:lpstr>NRAL</vt:lpstr>
      <vt:lpstr>OMan</vt:lpstr>
      <vt:lpstr>OOpt</vt:lpstr>
      <vt:lpstr>Operability</vt:lpstr>
      <vt:lpstr>Operability_RA</vt:lpstr>
      <vt:lpstr>PTM</vt:lpstr>
      <vt:lpstr>RA</vt:lpstr>
      <vt:lpstr>RAT</vt:lpstr>
      <vt:lpstr>Rel</vt:lpstr>
      <vt:lpstr>REnd</vt:lpstr>
      <vt:lpstr>RRM_and_Telecom</vt:lpstr>
      <vt:lpstr>RRM_and_Telecom_RA</vt:lpstr>
      <vt:lpstr>RStart</vt:lpstr>
      <vt:lpstr>RType</vt:lpstr>
      <vt:lpstr>SA</vt:lpstr>
      <vt:lpstr>Seriousness</vt:lpstr>
      <vt:lpstr>Site_Solution</vt:lpstr>
      <vt:lpstr>Site_Solution_RA</vt:lpstr>
      <vt:lpstr>Small_cell</vt:lpstr>
      <vt:lpstr>Small_cell_RA</vt:lpstr>
      <vt:lpstr>Sum</vt:lpstr>
      <vt:lpstr>SyArc</vt:lpstr>
      <vt:lpstr>TAO</vt:lpstr>
      <vt:lpstr>TM</vt:lpstr>
      <vt:lpstr>Transport</vt:lpstr>
      <vt:lpstr>Transport_RA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Ojha, Aditya (Nokia - IN/Bangalore)</dc:creator>
  <cp:keywords/>
  <dc:description/>
  <cp:lastModifiedBy>Ojha, Aditya (Nokia - IN/Bangalore)</cp:lastModifiedBy>
  <cp:revision/>
  <dcterms:created xsi:type="dcterms:W3CDTF">2015-06-05T18:17:20Z</dcterms:created>
  <dcterms:modified xsi:type="dcterms:W3CDTF">2023-06-16T03:52:37Z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0x010100AC1A3B6D13FA9240AB8BEA6D944D73F6</vt:lpwstr>
  </property>
  <property fmtid="{D5CDD505-2E9C-101B-9397-08002B2CF9AE}" pid="3" name="_dlc_DocIdItemGuid">
    <vt:lpwstr>b29d83fb-ba62-4e6f-b8a3-a87f1ce227bb</vt:lpwstr>
  </property>
  <property fmtid="{D5CDD505-2E9C-101B-9397-08002B2CF9AE}" pid="4" name="MSIP_Label_46cc7c65-2b09-40ab-abef-d10548338a3b_Enabled">
    <vt:lpwstr>true</vt:lpwstr>
  </property>
  <property fmtid="{D5CDD505-2E9C-101B-9397-08002B2CF9AE}" pid="5" name="MSIP_Label_46cc7c65-2b09-40ab-abef-d10548338a3b_SetDate">
    <vt:lpwstr>2023-02-23T14:34:22Z</vt:lpwstr>
  </property>
  <property fmtid="{D5CDD505-2E9C-101B-9397-08002B2CF9AE}" pid="6" name="MSIP_Label_46cc7c65-2b09-40ab-abef-d10548338a3b_Method">
    <vt:lpwstr>Privileged</vt:lpwstr>
  </property>
  <property fmtid="{D5CDD505-2E9C-101B-9397-08002B2CF9AE}" pid="7" name="MSIP_Label_46cc7c65-2b09-40ab-abef-d10548338a3b_Name">
    <vt:lpwstr>46cc7c65-2b09-40ab-abef-d10548338a3b</vt:lpwstr>
  </property>
  <property fmtid="{D5CDD505-2E9C-101B-9397-08002B2CF9AE}" pid="8" name="MSIP_Label_46cc7c65-2b09-40ab-abef-d10548338a3b_SiteId">
    <vt:lpwstr>5d471751-9675-428d-917b-70f44f9630b0</vt:lpwstr>
  </property>
  <property fmtid="{D5CDD505-2E9C-101B-9397-08002B2CF9AE}" pid="9" name="MSIP_Label_46cc7c65-2b09-40ab-abef-d10548338a3b_ActionId">
    <vt:lpwstr>1d23fb11-b320-447f-988e-948ae7e6593f</vt:lpwstr>
  </property>
  <property fmtid="{D5CDD505-2E9C-101B-9397-08002B2CF9AE}" pid="10" name="MSIP_Label_46cc7c65-2b09-40ab-abef-d10548338a3b_ContentBits">
    <vt:lpwstr>2</vt:lpwstr>
  </property>
</Properties>
</file>